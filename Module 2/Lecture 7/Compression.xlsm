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02eee3437eb7218/Documents/TrainingCourses/LFSCounterpartyRisk/Course Exercises Master/New XVA Exercises/"/>
    </mc:Choice>
  </mc:AlternateContent>
  <xr:revisionPtr revIDLastSave="541" documentId="8_{EFB1357E-908E-49F9-9E08-DFBC2C404492}" xr6:coauthVersionLast="45" xr6:coauthVersionMax="45" xr10:uidLastSave="{4907B653-3177-4216-A50A-DE124128FC3E}"/>
  <bookViews>
    <workbookView xWindow="-108" yWindow="-108" windowWidth="23256" windowHeight="12576" xr2:uid="{00000000-000D-0000-FFFF-FFFF00000000}"/>
  </bookViews>
  <sheets>
    <sheet name="5cntrptys" sheetId="2" r:id="rId1"/>
    <sheet name="10cntrptys" sheetId="4" r:id="rId2"/>
  </sheets>
  <functionGroups builtInGroupCount="19"/>
  <definedNames>
    <definedName name="solver_adj" localSheetId="1" hidden="1">'10cntrptys'!#REF!,'10cntrptys'!#REF!,'10cntrptys'!#REF!,'10cntrptys'!#REF!,'10cntrptys'!#REF!,'10cntrptys'!#REF!,'10cntrptys'!#REF!,'10cntrptys'!#REF!,'10cntrptys'!#REF!</definedName>
    <definedName name="solver_adj" localSheetId="0" hidden="1">'5cntrptys'!$D$17:$G$17,'5cntrptys'!$E$18:$G$18,'5cntrptys'!$F$19:$G$19,'5cntrptys'!$G$20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1</definedName>
    <definedName name="solver_eng" localSheetId="1" hidden="1">3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'10cntrptys'!$M$45</definedName>
    <definedName name="solver_lhs1" localSheetId="0" hidden="1">'5cntrptys'!$H$10</definedName>
    <definedName name="solver_lhs10" localSheetId="1" hidden="1">'10cntrptys'!#REF!</definedName>
    <definedName name="solver_lhs2" localSheetId="1" hidden="1">'10cntrptys'!#REF!</definedName>
    <definedName name="solver_lhs2" localSheetId="0" hidden="1">'5cntrptys'!$H$11</definedName>
    <definedName name="solver_lhs3" localSheetId="1" hidden="1">'10cntrptys'!#REF!</definedName>
    <definedName name="solver_lhs3" localSheetId="0" hidden="1">'5cntrptys'!$H$12</definedName>
    <definedName name="solver_lhs4" localSheetId="1" hidden="1">'10cntrptys'!#REF!</definedName>
    <definedName name="solver_lhs4" localSheetId="0" hidden="1">'5cntrptys'!$H$13</definedName>
    <definedName name="solver_lhs5" localSheetId="1" hidden="1">'10cntrptys'!#REF!</definedName>
    <definedName name="solver_lhs5" localSheetId="0" hidden="1">'5cntrptys'!$H$9</definedName>
    <definedName name="solver_lhs6" localSheetId="1" hidden="1">'10cntrptys'!#REF!</definedName>
    <definedName name="solver_lhs7" localSheetId="1" hidden="1">'10cntrptys'!#REF!</definedName>
    <definedName name="solver_lhs8" localSheetId="1" hidden="1">'10cntrptys'!#REF!</definedName>
    <definedName name="solver_lhs9" localSheetId="1" hidden="1">'10cntrptys'!#REF!</definedName>
    <definedName name="solver_lin" localSheetId="0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2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10</definedName>
    <definedName name="solver_num" localSheetId="0" hidden="1">5</definedName>
    <definedName name="solver_nwt" localSheetId="1" hidden="1">1</definedName>
    <definedName name="solver_nwt" localSheetId="0" hidden="1">1</definedName>
    <definedName name="solver_opt" localSheetId="1" hidden="1">'10cntrptys'!#REF!</definedName>
    <definedName name="solver_opt" localSheetId="0" hidden="1">'5cntrptys'!$K$18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1</definedName>
    <definedName name="solver_rel1" localSheetId="1" hidden="1">2</definedName>
    <definedName name="solver_rel1" localSheetId="0" hidden="1">2</definedName>
    <definedName name="solver_rel10" localSheetId="1" hidden="1">2</definedName>
    <definedName name="solver_rel2" localSheetId="1" hidden="1">2</definedName>
    <definedName name="solver_rel2" localSheetId="0" hidden="1">2</definedName>
    <definedName name="solver_rel3" localSheetId="1" hidden="1">2</definedName>
    <definedName name="solver_rel3" localSheetId="0" hidden="1">2</definedName>
    <definedName name="solver_rel4" localSheetId="1" hidden="1">2</definedName>
    <definedName name="solver_rel4" localSheetId="0" hidden="1">2</definedName>
    <definedName name="solver_rel5" localSheetId="1" hidden="1">2</definedName>
    <definedName name="solver_rel5" localSheetId="0" hidden="1">2</definedName>
    <definedName name="solver_rel6" localSheetId="1" hidden="1">2</definedName>
    <definedName name="solver_rel7" localSheetId="1" hidden="1">2</definedName>
    <definedName name="solver_rel8" localSheetId="1" hidden="1">2</definedName>
    <definedName name="solver_rel9" localSheetId="1" hidden="1">2</definedName>
    <definedName name="solver_rhs1" localSheetId="1" hidden="1">'10cntrptys'!$M$9</definedName>
    <definedName name="solver_rhs1" localSheetId="0" hidden="1">'5cntrptys'!$H$18</definedName>
    <definedName name="solver_rhs10" localSheetId="1" hidden="1">'10cntrptys'!$M$18</definedName>
    <definedName name="solver_rhs2" localSheetId="1" hidden="1">'10cntrptys'!$M$10</definedName>
    <definedName name="solver_rhs2" localSheetId="0" hidden="1">'5cntrptys'!$H$19</definedName>
    <definedName name="solver_rhs3" localSheetId="1" hidden="1">'10cntrptys'!$M$11</definedName>
    <definedName name="solver_rhs3" localSheetId="0" hidden="1">'5cntrptys'!$H$20</definedName>
    <definedName name="solver_rhs4" localSheetId="1" hidden="1">'10cntrptys'!$M$12</definedName>
    <definedName name="solver_rhs4" localSheetId="0" hidden="1">'5cntrptys'!$H$21</definedName>
    <definedName name="solver_rhs5" localSheetId="1" hidden="1">'10cntrptys'!$M$13</definedName>
    <definedName name="solver_rhs5" localSheetId="0" hidden="1">'5cntrptys'!$H$17</definedName>
    <definedName name="solver_rhs6" localSheetId="1" hidden="1">'10cntrptys'!$M$14</definedName>
    <definedName name="solver_rhs7" localSheetId="1" hidden="1">'10cntrptys'!$M$15</definedName>
    <definedName name="solver_rhs8" localSheetId="1" hidden="1">'10cntrptys'!$M$16</definedName>
    <definedName name="solver_rhs9" localSheetId="1" hidden="1">'10cntrptys'!$M$17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1" i="2" l="1"/>
  <c r="E21" i="2"/>
  <c r="D21" i="2"/>
  <c r="C21" i="2"/>
  <c r="E20" i="2"/>
  <c r="D20" i="2"/>
  <c r="C20" i="2"/>
  <c r="D19" i="2"/>
  <c r="C19" i="2"/>
  <c r="C18" i="2"/>
  <c r="H13" i="2" l="1"/>
  <c r="H12" i="2"/>
  <c r="H11" i="2"/>
  <c r="H10" i="2"/>
  <c r="H9" i="2"/>
  <c r="H17" i="2"/>
  <c r="H18" i="2"/>
  <c r="C24" i="2" a="1"/>
  <c r="C24" i="2" s="1"/>
  <c r="C25" i="2" a="1"/>
  <c r="C22" i="4" a="1"/>
  <c r="E22" i="4" l="1"/>
  <c r="C23" i="4"/>
  <c r="K23" i="4"/>
  <c r="I24" i="4"/>
  <c r="G25" i="4"/>
  <c r="E26" i="4"/>
  <c r="C27" i="4"/>
  <c r="K27" i="4"/>
  <c r="I28" i="4"/>
  <c r="G29" i="4"/>
  <c r="E30" i="4"/>
  <c r="C31" i="4"/>
  <c r="K31" i="4"/>
  <c r="J28" i="4"/>
  <c r="F30" i="4"/>
  <c r="L31" i="4"/>
  <c r="G22" i="4"/>
  <c r="K24" i="4"/>
  <c r="G26" i="4"/>
  <c r="C28" i="4"/>
  <c r="G30" i="4"/>
  <c r="L24" i="4"/>
  <c r="F27" i="4"/>
  <c r="J29" i="4"/>
  <c r="I22" i="4"/>
  <c r="C25" i="4"/>
  <c r="G27" i="4"/>
  <c r="K29" i="4"/>
  <c r="H23" i="4"/>
  <c r="D25" i="4"/>
  <c r="J26" i="4"/>
  <c r="F28" i="4"/>
  <c r="L29" i="4"/>
  <c r="H31" i="4"/>
  <c r="K22" i="4"/>
  <c r="G24" i="4"/>
  <c r="C26" i="4"/>
  <c r="G28" i="4"/>
  <c r="C30" i="4"/>
  <c r="I31" i="4"/>
  <c r="L22" i="4"/>
  <c r="H24" i="4"/>
  <c r="D26" i="4"/>
  <c r="H28" i="4"/>
  <c r="D30" i="4"/>
  <c r="J31" i="4"/>
  <c r="F22" i="4"/>
  <c r="D23" i="4"/>
  <c r="L23" i="4"/>
  <c r="J24" i="4"/>
  <c r="H25" i="4"/>
  <c r="F26" i="4"/>
  <c r="D27" i="4"/>
  <c r="L27" i="4"/>
  <c r="H29" i="4"/>
  <c r="D31" i="4"/>
  <c r="E23" i="4"/>
  <c r="C24" i="4"/>
  <c r="I25" i="4"/>
  <c r="E27" i="4"/>
  <c r="K28" i="4"/>
  <c r="I29" i="4"/>
  <c r="E31" i="4"/>
  <c r="J25" i="4"/>
  <c r="D28" i="4"/>
  <c r="H30" i="4"/>
  <c r="E24" i="4"/>
  <c r="K25" i="4"/>
  <c r="E28" i="4"/>
  <c r="G31" i="4"/>
  <c r="H22" i="4"/>
  <c r="F23" i="4"/>
  <c r="D24" i="4"/>
  <c r="H26" i="4"/>
  <c r="L28" i="4"/>
  <c r="F31" i="4"/>
  <c r="G23" i="4"/>
  <c r="I26" i="4"/>
  <c r="C29" i="4"/>
  <c r="I30" i="4"/>
  <c r="J22" i="4"/>
  <c r="F24" i="4"/>
  <c r="L25" i="4"/>
  <c r="H27" i="4"/>
  <c r="D29" i="4"/>
  <c r="J30" i="4"/>
  <c r="C22" i="4"/>
  <c r="I23" i="4"/>
  <c r="E25" i="4"/>
  <c r="K26" i="4"/>
  <c r="I27" i="4"/>
  <c r="E29" i="4"/>
  <c r="K30" i="4"/>
  <c r="D22" i="4"/>
  <c r="J23" i="4"/>
  <c r="F25" i="4"/>
  <c r="L26" i="4"/>
  <c r="J27" i="4"/>
  <c r="F29" i="4"/>
  <c r="L30" i="4"/>
  <c r="H19" i="2"/>
  <c r="H20" i="2"/>
  <c r="H21" i="2"/>
  <c r="C25" i="2"/>
  <c r="F26" i="2"/>
  <c r="D28" i="2"/>
  <c r="G29" i="2"/>
  <c r="D25" i="2"/>
  <c r="G26" i="2"/>
  <c r="E28" i="2"/>
  <c r="F27" i="2"/>
  <c r="E25" i="2"/>
  <c r="C27" i="2"/>
  <c r="F28" i="2"/>
  <c r="D26" i="2"/>
  <c r="E29" i="2"/>
  <c r="E26" i="2"/>
  <c r="F25" i="2"/>
  <c r="D27" i="2"/>
  <c r="G28" i="2"/>
  <c r="C28" i="2"/>
  <c r="G25" i="2"/>
  <c r="E27" i="2"/>
  <c r="C29" i="2"/>
  <c r="C26" i="2"/>
  <c r="H26" i="2" s="1"/>
  <c r="I26" i="2" s="1"/>
  <c r="D29" i="2"/>
  <c r="G27" i="2"/>
  <c r="F29" i="2"/>
  <c r="D24" i="2"/>
  <c r="E24" i="2"/>
  <c r="F24" i="2"/>
  <c r="G24" i="2"/>
  <c r="H29" i="2" l="1"/>
  <c r="I29" i="2" s="1"/>
  <c r="H28" i="2"/>
  <c r="I28" i="2" s="1"/>
  <c r="H27" i="2"/>
  <c r="I27" i="2" s="1"/>
  <c r="K25" i="2"/>
  <c r="H25" i="2"/>
  <c r="I25" i="2" s="1"/>
  <c r="K26" i="2"/>
  <c r="K27" i="2"/>
  <c r="K17" i="2" l="1"/>
  <c r="K44" i="4" l="1" a="1"/>
  <c r="K44" i="4" s="1"/>
  <c r="J43" i="4" a="1"/>
  <c r="J43" i="4" s="1"/>
  <c r="I42" i="4" a="1"/>
  <c r="I42" i="4" s="1"/>
  <c r="H41" i="4" a="1"/>
  <c r="H42" i="4" s="1"/>
  <c r="G40" i="4" a="1"/>
  <c r="G43" i="4" s="1"/>
  <c r="F39" i="4" a="1"/>
  <c r="F41" i="4" s="1"/>
  <c r="E38" i="4" a="1"/>
  <c r="E44" i="4" s="1"/>
  <c r="D37" i="4" a="1"/>
  <c r="D44" i="4" s="1"/>
  <c r="C36" i="4" a="1"/>
  <c r="C41" i="4" s="1"/>
  <c r="H43" i="4" l="1"/>
  <c r="G41" i="4"/>
  <c r="G42" i="4"/>
  <c r="J44" i="4"/>
  <c r="D37" i="4"/>
  <c r="C38" i="4"/>
  <c r="D38" i="4"/>
  <c r="G44" i="4"/>
  <c r="I43" i="4"/>
  <c r="C42" i="4"/>
  <c r="D41" i="4"/>
  <c r="G40" i="4"/>
  <c r="E41" i="4"/>
  <c r="F42" i="4"/>
  <c r="C39" i="4"/>
  <c r="C43" i="4"/>
  <c r="D42" i="4"/>
  <c r="E38" i="4"/>
  <c r="E42" i="4"/>
  <c r="F39" i="4"/>
  <c r="F43" i="4"/>
  <c r="H44" i="4"/>
  <c r="I44" i="4"/>
  <c r="C36" i="4"/>
  <c r="M36" i="4" s="1"/>
  <c r="C40" i="4"/>
  <c r="C44" i="4"/>
  <c r="D39" i="4"/>
  <c r="D43" i="4"/>
  <c r="E39" i="4"/>
  <c r="E43" i="4"/>
  <c r="F40" i="4"/>
  <c r="F44" i="4"/>
  <c r="H41" i="4"/>
  <c r="C37" i="4"/>
  <c r="D40" i="4"/>
  <c r="E40" i="4"/>
  <c r="M9" i="4"/>
  <c r="K18" i="4" a="1"/>
  <c r="K18" i="4" s="1"/>
  <c r="J17" i="4" a="1"/>
  <c r="J18" i="4" s="1"/>
  <c r="I16" i="4" a="1"/>
  <c r="I18" i="4" s="1"/>
  <c r="H15" i="4" a="1"/>
  <c r="H17" i="4" s="1"/>
  <c r="G14" i="4" a="1"/>
  <c r="G15" i="4" s="1"/>
  <c r="F13" i="4" a="1"/>
  <c r="F18" i="4" s="1"/>
  <c r="E12" i="4" a="1"/>
  <c r="E12" i="4" s="1"/>
  <c r="D11" i="4" a="1"/>
  <c r="D15" i="4" s="1"/>
  <c r="C10" i="4" a="1"/>
  <c r="C10" i="4" s="1"/>
  <c r="C16" i="2" a="1"/>
  <c r="E16" i="2" s="1"/>
  <c r="P22" i="4" l="1"/>
  <c r="P23" i="4"/>
  <c r="P24" i="4"/>
  <c r="M42" i="4"/>
  <c r="M41" i="4"/>
  <c r="M37" i="4"/>
  <c r="M40" i="4"/>
  <c r="M39" i="4"/>
  <c r="M38" i="4"/>
  <c r="M44" i="4"/>
  <c r="P36" i="4"/>
  <c r="M35" i="4"/>
  <c r="P35" i="4"/>
  <c r="P37" i="4"/>
  <c r="M43" i="4"/>
  <c r="F17" i="4"/>
  <c r="I16" i="4"/>
  <c r="F16" i="4"/>
  <c r="E15" i="4"/>
  <c r="F13" i="4"/>
  <c r="D18" i="4"/>
  <c r="C17" i="4"/>
  <c r="D14" i="4"/>
  <c r="E18" i="4"/>
  <c r="E14" i="4"/>
  <c r="H18" i="4"/>
  <c r="C13" i="4"/>
  <c r="D12" i="4"/>
  <c r="E17" i="4"/>
  <c r="E13" i="4"/>
  <c r="G17" i="4"/>
  <c r="D11" i="4"/>
  <c r="E16" i="4"/>
  <c r="F14" i="4"/>
  <c r="G16" i="4"/>
  <c r="C16" i="4"/>
  <c r="C12" i="4"/>
  <c r="F15" i="4"/>
  <c r="G18" i="4"/>
  <c r="G14" i="4"/>
  <c r="H16" i="4"/>
  <c r="I17" i="4"/>
  <c r="J17" i="4"/>
  <c r="C15" i="4"/>
  <c r="C11" i="4"/>
  <c r="D17" i="4"/>
  <c r="D13" i="4"/>
  <c r="H15" i="4"/>
  <c r="C18" i="4"/>
  <c r="C14" i="4"/>
  <c r="D16" i="4"/>
  <c r="M10" i="4"/>
  <c r="F16" i="2"/>
  <c r="C16" i="2"/>
  <c r="G16" i="2"/>
  <c r="D16" i="2"/>
  <c r="F13" i="2"/>
  <c r="E13" i="2"/>
  <c r="D13" i="2"/>
  <c r="C13" i="2"/>
  <c r="E12" i="2"/>
  <c r="D12" i="2"/>
  <c r="C12" i="2"/>
  <c r="D11" i="2"/>
  <c r="C11" i="2"/>
  <c r="C10" i="2"/>
  <c r="C8" i="2" a="1"/>
  <c r="C8" i="2" s="1"/>
  <c r="I17" i="2" l="1"/>
  <c r="P9" i="4"/>
  <c r="P10" i="4"/>
  <c r="P11" i="4"/>
  <c r="I21" i="2"/>
  <c r="M22" i="4"/>
  <c r="M29" i="4"/>
  <c r="N42" i="4" s="1"/>
  <c r="M25" i="4"/>
  <c r="N38" i="4" s="1"/>
  <c r="M14" i="4"/>
  <c r="M11" i="4"/>
  <c r="M13" i="4"/>
  <c r="M18" i="4"/>
  <c r="M15" i="4"/>
  <c r="M12" i="4"/>
  <c r="M16" i="4"/>
  <c r="M17" i="4"/>
  <c r="K10" i="2"/>
  <c r="K9" i="2"/>
  <c r="I18" i="2"/>
  <c r="F8" i="2"/>
  <c r="K18" i="2"/>
  <c r="E8" i="2"/>
  <c r="D8" i="2"/>
  <c r="G8" i="2"/>
  <c r="N33" i="4" l="1"/>
  <c r="N35" i="4"/>
  <c r="M24" i="4"/>
  <c r="N37" i="4" s="1"/>
  <c r="M30" i="4"/>
  <c r="N43" i="4" s="1"/>
  <c r="M31" i="4"/>
  <c r="N44" i="4" s="1"/>
  <c r="M26" i="4"/>
  <c r="N39" i="4" s="1"/>
  <c r="M27" i="4"/>
  <c r="N40" i="4" s="1"/>
  <c r="M28" i="4"/>
  <c r="N41" i="4" s="1"/>
  <c r="M23" i="4"/>
  <c r="N36" i="4" s="1"/>
  <c r="K11" i="2"/>
  <c r="I19" i="2"/>
  <c r="I20" i="2"/>
  <c r="K19" i="2"/>
  <c r="N26" i="4" l="1"/>
  <c r="N23" i="4"/>
  <c r="N31" i="4"/>
  <c r="N22" i="4"/>
  <c r="N29" i="4"/>
  <c r="N25" i="4"/>
  <c r="N30" i="4"/>
  <c r="N24" i="4"/>
  <c r="N28" i="4"/>
  <c r="N27" i="4"/>
</calcChain>
</file>

<file path=xl/sharedStrings.xml><?xml version="1.0" encoding="utf-8"?>
<sst xmlns="http://schemas.openxmlformats.org/spreadsheetml/2006/main" count="105" uniqueCount="19">
  <si>
    <t>Cntrpty 1</t>
  </si>
  <si>
    <t>Cntrpty 2</t>
  </si>
  <si>
    <t>Cntrpty 3</t>
  </si>
  <si>
    <t>Cntrpty 4</t>
  </si>
  <si>
    <t>Cntrpty 5</t>
  </si>
  <si>
    <t>Total</t>
  </si>
  <si>
    <t>Total Notional</t>
  </si>
  <si>
    <t>Total Notional^2</t>
  </si>
  <si>
    <t>Starting Point</t>
  </si>
  <si>
    <t>Solution</t>
  </si>
  <si>
    <t>Zeros</t>
  </si>
  <si>
    <t>Cntrpty 6</t>
  </si>
  <si>
    <t>Cntrpty 7</t>
  </si>
  <si>
    <t>Cntrpty 8</t>
  </si>
  <si>
    <t>Cntrpty 9</t>
  </si>
  <si>
    <t>Cntrpty 10</t>
  </si>
  <si>
    <t>Connections</t>
  </si>
  <si>
    <t>Tri Compression Algorithm</t>
  </si>
  <si>
    <t>Solver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</si>
</sst>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Font="1" applyBorder="1"/>
    <xf numFmtId="0" fontId="2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0" xfId="0" applyFont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 applyAlignment="1">
      <alignment horizontal="right"/>
    </xf>
    <xf numFmtId="0" fontId="3" fillId="0" borderId="0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0" fontId="2" fillId="0" borderId="0" xfId="0" applyFont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 applyAlignment="1">
      <alignment horizontal="right"/>
    </xf>
    <xf numFmtId="0" fontId="4" fillId="0" borderId="7" xfId="0" applyFont="1" applyBorder="1"/>
    <xf numFmtId="0" fontId="4" fillId="0" borderId="0" xfId="0" applyFont="1" applyBorder="1"/>
    <xf numFmtId="0" fontId="4" fillId="0" borderId="0" xfId="0" applyFont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412652</xdr:colOff>
      <xdr:row>4</xdr:row>
      <xdr:rowOff>179949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70826651-DCA1-4AF7-8A4E-EB607AFC9AD2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8138160" cy="90678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3000"/>
            </a:lnSpc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Compression Example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Multilateral compression example with five counterparties.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214532</xdr:colOff>
      <xdr:row>4</xdr:row>
      <xdr:rowOff>179949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FC784747-2D6A-4C53-9A40-A4FACA462DF8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8139332" cy="911469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3000"/>
            </a:lnSpc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Compression Example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Multilateral compression example with ten counterparties.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V29"/>
  <sheetViews>
    <sheetView showGridLines="0" tabSelected="1" zoomScaleNormal="100" workbookViewId="0">
      <pane ySplit="5" topLeftCell="A6" activePane="bottomLeft" state="frozen"/>
      <selection pane="bottomLeft" activeCell="P13" sqref="P13"/>
    </sheetView>
  </sheetViews>
  <sheetFormatPr defaultRowHeight="14.4" x14ac:dyDescent="0.3"/>
  <cols>
    <col min="10" max="10" width="14.88671875" bestFit="1" customWidth="1"/>
  </cols>
  <sheetData>
    <row r="6" spans="2:22" ht="15" thickBot="1" x14ac:dyDescent="0.35"/>
    <row r="7" spans="2:22" ht="15" thickBot="1" x14ac:dyDescent="0.35">
      <c r="B7" s="41" t="s">
        <v>8</v>
      </c>
      <c r="C7" s="42"/>
      <c r="D7" s="42"/>
      <c r="E7" s="42"/>
      <c r="F7" s="42"/>
      <c r="G7" s="42"/>
      <c r="H7" s="43"/>
    </row>
    <row r="8" spans="2:22" ht="15" thickBot="1" x14ac:dyDescent="0.35">
      <c r="B8" s="2"/>
      <c r="C8" s="3" t="str">
        <f t="array" ref="C8:G8">TRANSPOSE(B9:B13)</f>
        <v>Cntrpty 1</v>
      </c>
      <c r="D8" s="3" t="str">
        <v>Cntrpty 2</v>
      </c>
      <c r="E8" s="3" t="str">
        <v>Cntrpty 3</v>
      </c>
      <c r="F8" s="3" t="str">
        <v>Cntrpty 4</v>
      </c>
      <c r="G8" s="3" t="str">
        <v>Cntrpty 5</v>
      </c>
      <c r="H8" s="4" t="s">
        <v>5</v>
      </c>
      <c r="M8" s="1"/>
      <c r="O8" s="1"/>
      <c r="P8" s="1"/>
      <c r="V8" s="1"/>
    </row>
    <row r="9" spans="2:22" x14ac:dyDescent="0.3">
      <c r="B9" s="5" t="s">
        <v>0</v>
      </c>
      <c r="C9" s="6"/>
      <c r="D9" s="16">
        <v>95</v>
      </c>
      <c r="E9" s="16">
        <v>0</v>
      </c>
      <c r="F9" s="16">
        <v>-105</v>
      </c>
      <c r="G9" s="16">
        <v>20</v>
      </c>
      <c r="H9" s="7">
        <f>SUM(C9:G9)</f>
        <v>10</v>
      </c>
      <c r="J9" s="2" t="s">
        <v>6</v>
      </c>
      <c r="K9" s="27">
        <f>SUMIF(C9:G13,"&gt;0")-SUMIF(C9:G13,"&lt;0")</f>
        <v>1250</v>
      </c>
      <c r="O9" s="1"/>
      <c r="P9" s="1"/>
      <c r="V9" s="1"/>
    </row>
    <row r="10" spans="2:22" x14ac:dyDescent="0.3">
      <c r="B10" s="5" t="s">
        <v>1</v>
      </c>
      <c r="C10" s="6">
        <f>-D9</f>
        <v>-95</v>
      </c>
      <c r="D10" s="15"/>
      <c r="E10" s="16">
        <v>85</v>
      </c>
      <c r="F10" s="16">
        <v>-60</v>
      </c>
      <c r="G10" s="16">
        <v>95</v>
      </c>
      <c r="H10" s="7">
        <f>SUM(C10:G10)</f>
        <v>25</v>
      </c>
      <c r="J10" s="5" t="s">
        <v>7</v>
      </c>
      <c r="K10" s="28">
        <f>SUMPRODUCT(C9:G13,C9:G13)</f>
        <v>102450</v>
      </c>
      <c r="O10" s="1"/>
      <c r="P10" s="1"/>
    </row>
    <row r="11" spans="2:22" ht="15" thickBot="1" x14ac:dyDescent="0.35">
      <c r="B11" s="5" t="s">
        <v>2</v>
      </c>
      <c r="C11" s="6">
        <f>-E9</f>
        <v>0</v>
      </c>
      <c r="D11" s="15">
        <f>-E10</f>
        <v>-85</v>
      </c>
      <c r="E11" s="15"/>
      <c r="F11" s="16">
        <v>70</v>
      </c>
      <c r="G11" s="16">
        <v>-20</v>
      </c>
      <c r="H11" s="7">
        <f>SUM(C11:G11)</f>
        <v>-35</v>
      </c>
      <c r="J11" s="8" t="s">
        <v>10</v>
      </c>
      <c r="K11" s="29">
        <f>COUNTIF(C9:H13,"=0")</f>
        <v>2</v>
      </c>
      <c r="P11" s="1"/>
    </row>
    <row r="12" spans="2:22" x14ac:dyDescent="0.3">
      <c r="B12" s="5" t="s">
        <v>3</v>
      </c>
      <c r="C12" s="6">
        <f>-F9</f>
        <v>105</v>
      </c>
      <c r="D12" s="15">
        <f>-F10</f>
        <v>60</v>
      </c>
      <c r="E12" s="15">
        <f>-F11</f>
        <v>-70</v>
      </c>
      <c r="F12" s="15"/>
      <c r="G12" s="16">
        <v>-75</v>
      </c>
      <c r="H12" s="7">
        <f>SUM(C12:G12)</f>
        <v>20</v>
      </c>
    </row>
    <row r="13" spans="2:22" ht="15" thickBot="1" x14ac:dyDescent="0.35">
      <c r="B13" s="8" t="s">
        <v>4</v>
      </c>
      <c r="C13" s="9">
        <f>-G9</f>
        <v>-20</v>
      </c>
      <c r="D13" s="9">
        <f>-G10</f>
        <v>-95</v>
      </c>
      <c r="E13" s="9">
        <f>-G11</f>
        <v>20</v>
      </c>
      <c r="F13" s="9">
        <f>-G12</f>
        <v>75</v>
      </c>
      <c r="G13" s="9"/>
      <c r="H13" s="10">
        <f>SUM(C13:G13)</f>
        <v>-20</v>
      </c>
    </row>
    <row r="14" spans="2:22" ht="15" thickBot="1" x14ac:dyDescent="0.35"/>
    <row r="15" spans="2:22" ht="15" thickBot="1" x14ac:dyDescent="0.35">
      <c r="B15" s="41" t="s">
        <v>18</v>
      </c>
      <c r="C15" s="42"/>
      <c r="D15" s="42"/>
      <c r="E15" s="42"/>
      <c r="F15" s="42"/>
      <c r="G15" s="42"/>
      <c r="H15" s="43"/>
    </row>
    <row r="16" spans="2:22" ht="15" thickBot="1" x14ac:dyDescent="0.35">
      <c r="B16" s="2"/>
      <c r="C16" s="3" t="str">
        <f t="array" ref="C16:G16">TRANSPOSE(B17:B21)</f>
        <v>Cntrpty 1</v>
      </c>
      <c r="D16" s="3" t="str">
        <v>Cntrpty 2</v>
      </c>
      <c r="E16" s="3" t="str">
        <v>Cntrpty 3</v>
      </c>
      <c r="F16" s="3" t="str">
        <v>Cntrpty 4</v>
      </c>
      <c r="G16" s="3" t="str">
        <v>Cntrpty 5</v>
      </c>
      <c r="H16" s="4" t="s">
        <v>5</v>
      </c>
      <c r="M16" s="1"/>
      <c r="N16" s="1"/>
      <c r="O16" s="1"/>
      <c r="P16" s="1"/>
    </row>
    <row r="17" spans="2:16" x14ac:dyDescent="0.3">
      <c r="B17" s="17" t="s">
        <v>0</v>
      </c>
      <c r="C17" s="6"/>
      <c r="D17" s="26">
        <v>9.9999999999999911</v>
      </c>
      <c r="E17" s="26">
        <v>0</v>
      </c>
      <c r="F17" s="26">
        <v>0</v>
      </c>
      <c r="G17" s="26">
        <v>0</v>
      </c>
      <c r="H17" s="18">
        <f>SUM(C17:G17)</f>
        <v>9.9999999999999911</v>
      </c>
      <c r="I17" t="str">
        <f>IF(ABS(H9-H17)&gt;0.0001,"FAIL","")</f>
        <v/>
      </c>
      <c r="J17" s="2" t="s">
        <v>6</v>
      </c>
      <c r="K17" s="27">
        <f>SUMIF(C17:G21,"&gt;0")-SUMIF(C17:G21,"&lt;0")</f>
        <v>130</v>
      </c>
      <c r="N17" s="1"/>
      <c r="O17" s="1"/>
      <c r="P17" s="1"/>
    </row>
    <row r="18" spans="2:16" x14ac:dyDescent="0.3">
      <c r="B18" s="17" t="s">
        <v>1</v>
      </c>
      <c r="C18" s="6">
        <f>-D17</f>
        <v>-9.9999999999999911</v>
      </c>
      <c r="D18" s="15"/>
      <c r="E18" s="26">
        <v>35</v>
      </c>
      <c r="F18" s="26">
        <v>0</v>
      </c>
      <c r="G18" s="26">
        <v>0</v>
      </c>
      <c r="H18" s="18">
        <f>SUM(C18:G18)</f>
        <v>25.000000000000007</v>
      </c>
      <c r="I18" t="str">
        <f>IF(ABS(H10-H18)&gt;0.0001,"FAIL","")</f>
        <v/>
      </c>
      <c r="J18" s="5" t="s">
        <v>7</v>
      </c>
      <c r="K18" s="28">
        <f>SUMPRODUCT(C17:G21,C17:G21)</f>
        <v>3449.9999999999995</v>
      </c>
      <c r="O18" s="1"/>
      <c r="P18" s="1"/>
    </row>
    <row r="19" spans="2:16" ht="15" thickBot="1" x14ac:dyDescent="0.35">
      <c r="B19" s="17" t="s">
        <v>2</v>
      </c>
      <c r="C19" s="6">
        <f>-E17</f>
        <v>0</v>
      </c>
      <c r="D19" s="15">
        <f>-E18</f>
        <v>-35</v>
      </c>
      <c r="E19" s="15"/>
      <c r="F19" s="26">
        <v>0</v>
      </c>
      <c r="G19" s="26">
        <v>0</v>
      </c>
      <c r="H19" s="18">
        <f>SUM(C19:G19)</f>
        <v>-35</v>
      </c>
      <c r="I19" t="str">
        <f>IF(ABS(H11-H19)&gt;0.0001,"FAIL","")</f>
        <v/>
      </c>
      <c r="J19" s="8" t="s">
        <v>10</v>
      </c>
      <c r="K19" s="29">
        <f>COUNTIF(C17:H21,"=0")</f>
        <v>14</v>
      </c>
      <c r="P19" s="1"/>
    </row>
    <row r="20" spans="2:16" x14ac:dyDescent="0.3">
      <c r="B20" s="17" t="s">
        <v>3</v>
      </c>
      <c r="C20" s="6">
        <f>-F17</f>
        <v>0</v>
      </c>
      <c r="D20" s="15">
        <f>-F18</f>
        <v>0</v>
      </c>
      <c r="E20" s="15">
        <f>-F19</f>
        <v>0</v>
      </c>
      <c r="F20" s="15"/>
      <c r="G20" s="26">
        <v>20.000000000000004</v>
      </c>
      <c r="H20" s="18">
        <f>SUM(C20:G20)</f>
        <v>20.000000000000004</v>
      </c>
      <c r="I20" t="str">
        <f>IF(ABS(H12-H20)&gt;0.0001,"FAIL","")</f>
        <v/>
      </c>
    </row>
    <row r="21" spans="2:16" ht="15" thickBot="1" x14ac:dyDescent="0.35">
      <c r="B21" s="19" t="s">
        <v>4</v>
      </c>
      <c r="C21" s="9">
        <f>-G17</f>
        <v>0</v>
      </c>
      <c r="D21" s="9">
        <f>-G18</f>
        <v>0</v>
      </c>
      <c r="E21" s="9">
        <f>-G19</f>
        <v>0</v>
      </c>
      <c r="F21" s="9">
        <f>-G20</f>
        <v>-20.000000000000004</v>
      </c>
      <c r="G21" s="9"/>
      <c r="H21" s="21">
        <f>SUM(C21:G21)</f>
        <v>-20.000000000000004</v>
      </c>
      <c r="I21" t="str">
        <f>IF(ABS(H13-H21)&gt;0.0001,"FAIL","")</f>
        <v/>
      </c>
    </row>
    <row r="22" spans="2:16" ht="15" thickBot="1" x14ac:dyDescent="0.35">
      <c r="B22" s="22"/>
      <c r="C22" s="22"/>
      <c r="D22" s="22"/>
      <c r="E22" s="22"/>
      <c r="F22" s="22"/>
      <c r="G22" s="22"/>
      <c r="H22" s="22"/>
    </row>
    <row r="23" spans="2:16" ht="15" thickBot="1" x14ac:dyDescent="0.35">
      <c r="B23" s="44" t="s">
        <v>17</v>
      </c>
      <c r="C23" s="45"/>
      <c r="D23" s="45"/>
      <c r="E23" s="45"/>
      <c r="F23" s="45"/>
      <c r="G23" s="45"/>
      <c r="H23" s="46"/>
      <c r="L23" s="6"/>
    </row>
    <row r="24" spans="2:16" ht="15" thickBot="1" x14ac:dyDescent="0.35">
      <c r="B24" s="23"/>
      <c r="C24" s="24" t="str">
        <f t="array" ref="C24:G24">TRANSPOSE(B25:B29)</f>
        <v>Cntrpty 1</v>
      </c>
      <c r="D24" s="24" t="str">
        <v>Cntrpty 2</v>
      </c>
      <c r="E24" s="24" t="str">
        <v>Cntrpty 3</v>
      </c>
      <c r="F24" s="24" t="str">
        <v>Cntrpty 4</v>
      </c>
      <c r="G24" s="24" t="str">
        <v>Cntrpty 5</v>
      </c>
      <c r="H24" s="25" t="s">
        <v>5</v>
      </c>
      <c r="L24" s="6"/>
    </row>
    <row r="25" spans="2:16" x14ac:dyDescent="0.3">
      <c r="B25" s="17" t="s">
        <v>0</v>
      </c>
      <c r="C25" s="15">
        <f t="array" ref="C25:G29">TriCompress(C9:G13)</f>
        <v>0</v>
      </c>
      <c r="D25" s="26">
        <v>0</v>
      </c>
      <c r="E25" s="26">
        <v>0</v>
      </c>
      <c r="F25" s="26">
        <v>10</v>
      </c>
      <c r="G25" s="26">
        <v>0</v>
      </c>
      <c r="H25" s="18">
        <f>SUM(C25:G25)</f>
        <v>10</v>
      </c>
      <c r="I25" t="str">
        <f>IF(ABS(H9-H25)&gt;0.0001,"FAIL","")</f>
        <v/>
      </c>
      <c r="J25" s="2" t="s">
        <v>6</v>
      </c>
      <c r="K25" s="27">
        <f>SUMIF(C25:G29,"&gt;0")-SUMIF(C25:G29,"&lt;0")</f>
        <v>140</v>
      </c>
      <c r="L25" s="6"/>
    </row>
    <row r="26" spans="2:16" x14ac:dyDescent="0.3">
      <c r="B26" s="17" t="s">
        <v>1</v>
      </c>
      <c r="C26" s="15">
        <v>0</v>
      </c>
      <c r="D26" s="15">
        <v>0</v>
      </c>
      <c r="E26" s="26">
        <v>0</v>
      </c>
      <c r="F26" s="26">
        <v>0</v>
      </c>
      <c r="G26" s="26">
        <v>25</v>
      </c>
      <c r="H26" s="18">
        <f t="shared" ref="H26:H29" si="0">SUM(C26:G26)</f>
        <v>25</v>
      </c>
      <c r="I26" t="str">
        <f>IF(ABS(H10-H26)&gt;0.0001,"FAIL","")</f>
        <v/>
      </c>
      <c r="J26" s="5" t="s">
        <v>7</v>
      </c>
      <c r="K26" s="28">
        <f>SUMPRODUCT(C25:G29,C25:G29)</f>
        <v>3300</v>
      </c>
      <c r="L26" s="6"/>
    </row>
    <row r="27" spans="2:16" ht="15" thickBot="1" x14ac:dyDescent="0.35">
      <c r="B27" s="17" t="s">
        <v>2</v>
      </c>
      <c r="C27" s="15">
        <v>0</v>
      </c>
      <c r="D27" s="15">
        <v>0</v>
      </c>
      <c r="E27" s="15">
        <v>0</v>
      </c>
      <c r="F27" s="26">
        <v>-30</v>
      </c>
      <c r="G27" s="26">
        <v>-5</v>
      </c>
      <c r="H27" s="18">
        <f t="shared" si="0"/>
        <v>-35</v>
      </c>
      <c r="I27" t="str">
        <f>IF(ABS(H11-H27)&gt;0.0001,"FAIL","")</f>
        <v/>
      </c>
      <c r="J27" s="8" t="s">
        <v>10</v>
      </c>
      <c r="K27" s="29">
        <f>COUNTIF(C25:H29,"=0")</f>
        <v>12</v>
      </c>
      <c r="L27" s="6"/>
    </row>
    <row r="28" spans="2:16" x14ac:dyDescent="0.3">
      <c r="B28" s="17" t="s">
        <v>3</v>
      </c>
      <c r="C28" s="15">
        <v>-10</v>
      </c>
      <c r="D28" s="15">
        <v>0</v>
      </c>
      <c r="E28" s="15">
        <v>30</v>
      </c>
      <c r="F28" s="15">
        <v>0</v>
      </c>
      <c r="G28" s="26">
        <v>0</v>
      </c>
      <c r="H28" s="18">
        <f t="shared" si="0"/>
        <v>20</v>
      </c>
      <c r="I28" t="str">
        <f>IF(ABS(H12-H28)&gt;0.0001,"FAIL","")</f>
        <v/>
      </c>
      <c r="L28" s="6"/>
    </row>
    <row r="29" spans="2:16" ht="15" thickBot="1" x14ac:dyDescent="0.35">
      <c r="B29" s="19" t="s">
        <v>4</v>
      </c>
      <c r="C29" s="20">
        <v>0</v>
      </c>
      <c r="D29" s="20">
        <v>-25</v>
      </c>
      <c r="E29" s="20">
        <v>5</v>
      </c>
      <c r="F29" s="20">
        <v>0</v>
      </c>
      <c r="G29" s="20">
        <v>0</v>
      </c>
      <c r="H29" s="21">
        <f t="shared" si="0"/>
        <v>-20</v>
      </c>
      <c r="I29" t="str">
        <f>IF(ABS(H13-H29)&gt;0.0001,"FAIL","")</f>
        <v/>
      </c>
    </row>
  </sheetData>
  <mergeCells count="3">
    <mergeCell ref="B7:H7"/>
    <mergeCell ref="B15:H15"/>
    <mergeCell ref="B23:H2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6:P45"/>
  <sheetViews>
    <sheetView showGridLines="0" zoomScaleNormal="100" workbookViewId="0">
      <pane ySplit="5" topLeftCell="A6" activePane="bottomLeft" state="frozen"/>
      <selection pane="bottomLeft" activeCell="I13" sqref="I13"/>
    </sheetView>
  </sheetViews>
  <sheetFormatPr defaultRowHeight="14.4" x14ac:dyDescent="0.3"/>
  <cols>
    <col min="15" max="15" width="14.88671875" bestFit="1" customWidth="1"/>
  </cols>
  <sheetData>
    <row r="6" spans="2:16" ht="15" thickBot="1" x14ac:dyDescent="0.35"/>
    <row r="7" spans="2:16" ht="15" thickBot="1" x14ac:dyDescent="0.35">
      <c r="B7" s="41" t="s">
        <v>8</v>
      </c>
      <c r="C7" s="42"/>
      <c r="D7" s="42"/>
      <c r="E7" s="42"/>
      <c r="F7" s="42"/>
      <c r="G7" s="42"/>
      <c r="H7" s="42"/>
      <c r="I7" s="42"/>
      <c r="J7" s="42"/>
      <c r="K7" s="42"/>
      <c r="L7" s="42"/>
      <c r="M7" s="43"/>
    </row>
    <row r="8" spans="2:16" ht="15" thickBot="1" x14ac:dyDescent="0.35">
      <c r="B8" s="2"/>
      <c r="C8" s="3" t="s">
        <v>0</v>
      </c>
      <c r="D8" s="3" t="s">
        <v>1</v>
      </c>
      <c r="E8" s="3" t="s">
        <v>2</v>
      </c>
      <c r="F8" s="3" t="s">
        <v>3</v>
      </c>
      <c r="G8" s="3" t="s">
        <v>4</v>
      </c>
      <c r="H8" s="3" t="s">
        <v>11</v>
      </c>
      <c r="I8" s="3" t="s">
        <v>12</v>
      </c>
      <c r="J8" s="3" t="s">
        <v>13</v>
      </c>
      <c r="K8" s="3" t="s">
        <v>14</v>
      </c>
      <c r="L8" s="3" t="s">
        <v>15</v>
      </c>
      <c r="M8" s="4" t="s">
        <v>5</v>
      </c>
    </row>
    <row r="9" spans="2:16" x14ac:dyDescent="0.3">
      <c r="B9" s="5" t="s">
        <v>0</v>
      </c>
      <c r="C9" s="6"/>
      <c r="D9" s="30">
        <v>50</v>
      </c>
      <c r="E9" s="30">
        <v>30</v>
      </c>
      <c r="F9" s="30">
        <v>20</v>
      </c>
      <c r="G9" s="30">
        <v>-40</v>
      </c>
      <c r="H9" s="30">
        <v>-50</v>
      </c>
      <c r="I9" s="30">
        <v>30</v>
      </c>
      <c r="J9" s="30">
        <v>-40</v>
      </c>
      <c r="K9" s="30">
        <v>50</v>
      </c>
      <c r="L9" s="30">
        <v>-50</v>
      </c>
      <c r="M9" s="7">
        <f t="shared" ref="M9:M18" si="0">SUM(C9:L9)</f>
        <v>0</v>
      </c>
      <c r="O9" s="2" t="s">
        <v>6</v>
      </c>
      <c r="P9" s="27">
        <f>SUMIF(C9:L18,"&gt;0")-SUMIF(C9:L18,"&lt;0")</f>
        <v>2840</v>
      </c>
    </row>
    <row r="10" spans="2:16" x14ac:dyDescent="0.3">
      <c r="B10" s="5" t="s">
        <v>1</v>
      </c>
      <c r="C10" s="6">
        <f t="array" ref="C10:C18">-TRANSPOSE(D9:L9)</f>
        <v>-50</v>
      </c>
      <c r="D10" s="6"/>
      <c r="E10" s="30">
        <v>50</v>
      </c>
      <c r="F10" s="30">
        <v>-20</v>
      </c>
      <c r="G10" s="30">
        <v>40</v>
      </c>
      <c r="H10" s="30">
        <v>-20</v>
      </c>
      <c r="I10" s="30">
        <v>-30</v>
      </c>
      <c r="J10" s="30">
        <v>30</v>
      </c>
      <c r="K10" s="30">
        <v>-20</v>
      </c>
      <c r="L10" s="30">
        <v>40</v>
      </c>
      <c r="M10" s="7">
        <f t="shared" si="0"/>
        <v>20</v>
      </c>
      <c r="O10" s="5" t="s">
        <v>7</v>
      </c>
      <c r="P10" s="28">
        <f>SUMPRODUCT(C9:L18,C9:L18)</f>
        <v>108800</v>
      </c>
    </row>
    <row r="11" spans="2:16" ht="15" thickBot="1" x14ac:dyDescent="0.35">
      <c r="B11" s="5" t="s">
        <v>2</v>
      </c>
      <c r="C11" s="6">
        <v>-30</v>
      </c>
      <c r="D11" s="6">
        <f t="array" ref="D11:D18">-TRANSPOSE(E10:L10)</f>
        <v>-50</v>
      </c>
      <c r="E11" s="6"/>
      <c r="F11" s="30">
        <v>40</v>
      </c>
      <c r="G11" s="30">
        <v>60</v>
      </c>
      <c r="H11" s="30">
        <v>-30</v>
      </c>
      <c r="I11" s="30">
        <v>40</v>
      </c>
      <c r="J11" s="30">
        <v>-10</v>
      </c>
      <c r="K11" s="30">
        <v>30</v>
      </c>
      <c r="L11" s="30">
        <v>0</v>
      </c>
      <c r="M11" s="7">
        <f t="shared" si="0"/>
        <v>50</v>
      </c>
      <c r="O11" s="8" t="s">
        <v>16</v>
      </c>
      <c r="P11" s="29">
        <f>(COUNTIF(C9:L18,"&gt;0.00001")+COUNTIF(C9:L18,"&lt;-0.00001"))/2</f>
        <v>43</v>
      </c>
    </row>
    <row r="12" spans="2:16" x14ac:dyDescent="0.3">
      <c r="B12" s="5" t="s">
        <v>3</v>
      </c>
      <c r="C12" s="6">
        <v>-20</v>
      </c>
      <c r="D12" s="6">
        <v>20</v>
      </c>
      <c r="E12" s="6">
        <f t="array" ref="E12:E18">-TRANSPOSE(F11:L11)</f>
        <v>-40</v>
      </c>
      <c r="F12" s="6"/>
      <c r="G12" s="30">
        <v>20</v>
      </c>
      <c r="H12" s="30">
        <v>-50</v>
      </c>
      <c r="I12" s="30">
        <v>-50</v>
      </c>
      <c r="J12" s="30">
        <v>-20</v>
      </c>
      <c r="K12" s="30">
        <v>40</v>
      </c>
      <c r="L12" s="30">
        <v>40</v>
      </c>
      <c r="M12" s="7">
        <f t="shared" si="0"/>
        <v>-60</v>
      </c>
    </row>
    <row r="13" spans="2:16" x14ac:dyDescent="0.3">
      <c r="B13" s="5" t="s">
        <v>4</v>
      </c>
      <c r="C13" s="6">
        <v>40</v>
      </c>
      <c r="D13" s="6">
        <v>-40</v>
      </c>
      <c r="E13" s="6">
        <v>-60</v>
      </c>
      <c r="F13" s="6">
        <f t="array" ref="F13:F18">-TRANSPOSE(G12:L12)</f>
        <v>-20</v>
      </c>
      <c r="G13" s="6"/>
      <c r="H13" s="30">
        <v>-20</v>
      </c>
      <c r="I13" s="30">
        <v>0</v>
      </c>
      <c r="J13" s="30">
        <v>20</v>
      </c>
      <c r="K13" s="30">
        <v>10</v>
      </c>
      <c r="L13" s="30">
        <v>-20</v>
      </c>
      <c r="M13" s="7">
        <f t="shared" si="0"/>
        <v>-90</v>
      </c>
    </row>
    <row r="14" spans="2:16" x14ac:dyDescent="0.3">
      <c r="B14" s="5" t="s">
        <v>11</v>
      </c>
      <c r="C14" s="6">
        <v>50</v>
      </c>
      <c r="D14" s="6">
        <v>20</v>
      </c>
      <c r="E14" s="6">
        <v>30</v>
      </c>
      <c r="F14" s="6">
        <v>50</v>
      </c>
      <c r="G14" s="6">
        <f t="array" ref="G14:G18">-TRANSPOSE(H13:L13)</f>
        <v>20</v>
      </c>
      <c r="H14" s="6"/>
      <c r="I14" s="30">
        <v>-50</v>
      </c>
      <c r="J14" s="30">
        <v>20</v>
      </c>
      <c r="K14" s="30">
        <v>-50</v>
      </c>
      <c r="L14" s="30">
        <v>20</v>
      </c>
      <c r="M14" s="7">
        <f t="shared" si="0"/>
        <v>110</v>
      </c>
    </row>
    <row r="15" spans="2:16" x14ac:dyDescent="0.3">
      <c r="B15" s="5" t="s">
        <v>12</v>
      </c>
      <c r="C15" s="6">
        <v>-30</v>
      </c>
      <c r="D15" s="6">
        <v>30</v>
      </c>
      <c r="E15" s="6">
        <v>-40</v>
      </c>
      <c r="F15" s="6">
        <v>50</v>
      </c>
      <c r="G15" s="6">
        <v>0</v>
      </c>
      <c r="H15" s="6">
        <f t="array" ref="H15:H18">-TRANSPOSE(I14:L14)</f>
        <v>50</v>
      </c>
      <c r="I15" s="6"/>
      <c r="J15" s="30">
        <v>-50</v>
      </c>
      <c r="K15" s="30">
        <v>20</v>
      </c>
      <c r="L15" s="30">
        <v>20</v>
      </c>
      <c r="M15" s="7">
        <f t="shared" si="0"/>
        <v>50</v>
      </c>
    </row>
    <row r="16" spans="2:16" x14ac:dyDescent="0.3">
      <c r="B16" s="5" t="s">
        <v>13</v>
      </c>
      <c r="C16" s="6">
        <v>40</v>
      </c>
      <c r="D16" s="6">
        <v>-30</v>
      </c>
      <c r="E16" s="6">
        <v>10</v>
      </c>
      <c r="F16" s="6">
        <v>20</v>
      </c>
      <c r="G16" s="6">
        <v>-20</v>
      </c>
      <c r="H16" s="6">
        <v>-20</v>
      </c>
      <c r="I16" s="6">
        <f t="array" ref="I16:I18">-TRANSPOSE(J15:L15)</f>
        <v>50</v>
      </c>
      <c r="J16" s="6"/>
      <c r="K16" s="30">
        <v>20</v>
      </c>
      <c r="L16" s="30">
        <v>30</v>
      </c>
      <c r="M16" s="7">
        <f t="shared" si="0"/>
        <v>100</v>
      </c>
    </row>
    <row r="17" spans="2:16" x14ac:dyDescent="0.3">
      <c r="B17" s="5" t="s">
        <v>14</v>
      </c>
      <c r="C17" s="6">
        <v>-50</v>
      </c>
      <c r="D17" s="6">
        <v>20</v>
      </c>
      <c r="E17" s="6">
        <v>-30</v>
      </c>
      <c r="F17" s="6">
        <v>-40</v>
      </c>
      <c r="G17" s="6">
        <v>-10</v>
      </c>
      <c r="H17" s="6">
        <v>50</v>
      </c>
      <c r="I17" s="6">
        <v>-20</v>
      </c>
      <c r="J17" s="6">
        <f t="array" ref="J17:J18">-TRANSPOSE(K16:L16)</f>
        <v>-20</v>
      </c>
      <c r="K17" s="6"/>
      <c r="L17" s="30">
        <v>30</v>
      </c>
      <c r="M17" s="7">
        <f t="shared" si="0"/>
        <v>-70</v>
      </c>
    </row>
    <row r="18" spans="2:16" ht="15" thickBot="1" x14ac:dyDescent="0.35">
      <c r="B18" s="8" t="s">
        <v>15</v>
      </c>
      <c r="C18" s="9">
        <v>50</v>
      </c>
      <c r="D18" s="9">
        <v>-40</v>
      </c>
      <c r="E18" s="9">
        <v>0</v>
      </c>
      <c r="F18" s="9">
        <v>-40</v>
      </c>
      <c r="G18" s="9">
        <v>20</v>
      </c>
      <c r="H18" s="9">
        <v>-20</v>
      </c>
      <c r="I18" s="9">
        <v>-20</v>
      </c>
      <c r="J18" s="9">
        <v>-30</v>
      </c>
      <c r="K18" s="9">
        <f t="array" ref="K18">-TRANSPOSE(L17)</f>
        <v>-30</v>
      </c>
      <c r="L18" s="9"/>
      <c r="M18" s="10">
        <f t="shared" si="0"/>
        <v>-110</v>
      </c>
    </row>
    <row r="19" spans="2:16" ht="15" thickBot="1" x14ac:dyDescent="0.35"/>
    <row r="20" spans="2:16" ht="15" thickBot="1" x14ac:dyDescent="0.35">
      <c r="B20" s="41" t="s">
        <v>9</v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3"/>
    </row>
    <row r="21" spans="2:16" ht="15" thickBot="1" x14ac:dyDescent="0.35">
      <c r="B21" s="31"/>
      <c r="C21" s="32" t="s">
        <v>0</v>
      </c>
      <c r="D21" s="32" t="s">
        <v>1</v>
      </c>
      <c r="E21" s="32" t="s">
        <v>2</v>
      </c>
      <c r="F21" s="32" t="s">
        <v>3</v>
      </c>
      <c r="G21" s="32" t="s">
        <v>4</v>
      </c>
      <c r="H21" s="32" t="s">
        <v>11</v>
      </c>
      <c r="I21" s="32" t="s">
        <v>12</v>
      </c>
      <c r="J21" s="32" t="s">
        <v>13</v>
      </c>
      <c r="K21" s="32" t="s">
        <v>14</v>
      </c>
      <c r="L21" s="32" t="s">
        <v>15</v>
      </c>
      <c r="M21" s="33" t="s">
        <v>5</v>
      </c>
    </row>
    <row r="22" spans="2:16" x14ac:dyDescent="0.3">
      <c r="B22" s="34" t="s">
        <v>0</v>
      </c>
      <c r="C22" s="35">
        <f t="array" ref="C22:L31">TriCompress(C9:L18)</f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7">
        <f t="shared" ref="M22:M31" si="1">SUM(C22:L22)</f>
        <v>0</v>
      </c>
      <c r="N22" t="str">
        <f t="shared" ref="N22:N44" si="2">IF(ABS(M9-M22)&gt;0.0001,"FAIL","")</f>
        <v/>
      </c>
      <c r="O22" s="2" t="s">
        <v>6</v>
      </c>
      <c r="P22" s="27">
        <f>SUMIF(C22:L31,"&gt;0")-SUMIF(C22:L31,"&lt;0")</f>
        <v>840</v>
      </c>
    </row>
    <row r="23" spans="2:16" x14ac:dyDescent="0.3">
      <c r="B23" s="34" t="s">
        <v>1</v>
      </c>
      <c r="C23" s="35">
        <v>0</v>
      </c>
      <c r="D23" s="35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20</v>
      </c>
      <c r="M23" s="37">
        <f t="shared" si="1"/>
        <v>20</v>
      </c>
      <c r="N23" t="str">
        <f t="shared" si="2"/>
        <v/>
      </c>
      <c r="O23" s="5" t="s">
        <v>7</v>
      </c>
      <c r="P23" s="28">
        <f>SUMPRODUCT(C22:L31,C22:L31)</f>
        <v>46800</v>
      </c>
    </row>
    <row r="24" spans="2:16" ht="15" thickBot="1" x14ac:dyDescent="0.35">
      <c r="B24" s="34" t="s">
        <v>2</v>
      </c>
      <c r="C24" s="35">
        <v>0</v>
      </c>
      <c r="D24" s="35">
        <v>0</v>
      </c>
      <c r="E24" s="35">
        <v>0</v>
      </c>
      <c r="F24" s="36">
        <v>0</v>
      </c>
      <c r="G24" s="36">
        <v>0</v>
      </c>
      <c r="H24" s="36">
        <v>40</v>
      </c>
      <c r="I24" s="36">
        <v>0</v>
      </c>
      <c r="J24" s="36">
        <v>10</v>
      </c>
      <c r="K24" s="36">
        <v>0</v>
      </c>
      <c r="L24" s="36">
        <v>0</v>
      </c>
      <c r="M24" s="37">
        <f t="shared" si="1"/>
        <v>50</v>
      </c>
      <c r="N24" t="str">
        <f t="shared" si="2"/>
        <v/>
      </c>
      <c r="O24" s="8" t="s">
        <v>16</v>
      </c>
      <c r="P24" s="29">
        <f>(COUNTIF(C22:L31,"&gt;0.00001")+COUNTIF(C22:L31,"&lt;-0.00001"))/2</f>
        <v>12</v>
      </c>
    </row>
    <row r="25" spans="2:16" x14ac:dyDescent="0.3">
      <c r="B25" s="34" t="s">
        <v>3</v>
      </c>
      <c r="C25" s="35">
        <v>0</v>
      </c>
      <c r="D25" s="35">
        <v>0</v>
      </c>
      <c r="E25" s="35">
        <v>0</v>
      </c>
      <c r="F25" s="35">
        <v>0</v>
      </c>
      <c r="G25" s="36">
        <v>0</v>
      </c>
      <c r="H25" s="36">
        <v>0</v>
      </c>
      <c r="I25" s="36">
        <v>0</v>
      </c>
      <c r="J25" s="36">
        <v>-60</v>
      </c>
      <c r="K25" s="36">
        <v>0</v>
      </c>
      <c r="L25" s="36">
        <v>0</v>
      </c>
      <c r="M25" s="37">
        <f t="shared" si="1"/>
        <v>-60</v>
      </c>
      <c r="N25" t="str">
        <f t="shared" si="2"/>
        <v/>
      </c>
    </row>
    <row r="26" spans="2:16" x14ac:dyDescent="0.3">
      <c r="B26" s="34" t="s">
        <v>4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6">
        <v>-110</v>
      </c>
      <c r="I26" s="36">
        <v>0</v>
      </c>
      <c r="J26" s="36">
        <v>20</v>
      </c>
      <c r="K26" s="36">
        <v>0</v>
      </c>
      <c r="L26" s="36">
        <v>0</v>
      </c>
      <c r="M26" s="37">
        <f t="shared" si="1"/>
        <v>-90</v>
      </c>
      <c r="N26" t="str">
        <f t="shared" si="2"/>
        <v/>
      </c>
    </row>
    <row r="27" spans="2:16" x14ac:dyDescent="0.3">
      <c r="B27" s="34" t="s">
        <v>11</v>
      </c>
      <c r="C27" s="35">
        <v>0</v>
      </c>
      <c r="D27" s="35">
        <v>0</v>
      </c>
      <c r="E27" s="35">
        <v>-40</v>
      </c>
      <c r="F27" s="35">
        <v>0</v>
      </c>
      <c r="G27" s="35">
        <v>110</v>
      </c>
      <c r="H27" s="35">
        <v>0</v>
      </c>
      <c r="I27" s="36">
        <v>0</v>
      </c>
      <c r="J27" s="36">
        <v>0</v>
      </c>
      <c r="K27" s="36">
        <v>30</v>
      </c>
      <c r="L27" s="36">
        <v>10</v>
      </c>
      <c r="M27" s="37">
        <f t="shared" si="1"/>
        <v>110</v>
      </c>
      <c r="N27" t="str">
        <f t="shared" si="2"/>
        <v/>
      </c>
    </row>
    <row r="28" spans="2:16" x14ac:dyDescent="0.3">
      <c r="B28" s="34" t="s">
        <v>12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35">
        <v>0</v>
      </c>
      <c r="J28" s="36">
        <v>0</v>
      </c>
      <c r="K28" s="36">
        <v>20</v>
      </c>
      <c r="L28" s="36">
        <v>30</v>
      </c>
      <c r="M28" s="37">
        <f t="shared" si="1"/>
        <v>50</v>
      </c>
      <c r="N28" t="str">
        <f t="shared" si="2"/>
        <v/>
      </c>
    </row>
    <row r="29" spans="2:16" x14ac:dyDescent="0.3">
      <c r="B29" s="34" t="s">
        <v>13</v>
      </c>
      <c r="C29" s="35">
        <v>0</v>
      </c>
      <c r="D29" s="35">
        <v>0</v>
      </c>
      <c r="E29" s="35">
        <v>-10</v>
      </c>
      <c r="F29" s="35">
        <v>60</v>
      </c>
      <c r="G29" s="35">
        <v>-20</v>
      </c>
      <c r="H29" s="35">
        <v>0</v>
      </c>
      <c r="I29" s="35">
        <v>0</v>
      </c>
      <c r="J29" s="35">
        <v>0</v>
      </c>
      <c r="K29" s="36">
        <v>20</v>
      </c>
      <c r="L29" s="36">
        <v>50</v>
      </c>
      <c r="M29" s="37">
        <f t="shared" si="1"/>
        <v>100</v>
      </c>
      <c r="N29" t="str">
        <f t="shared" si="2"/>
        <v/>
      </c>
    </row>
    <row r="30" spans="2:16" x14ac:dyDescent="0.3">
      <c r="B30" s="34" t="s">
        <v>14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-30</v>
      </c>
      <c r="I30" s="35">
        <v>-20</v>
      </c>
      <c r="J30" s="35">
        <v>-20</v>
      </c>
      <c r="K30" s="35">
        <v>0</v>
      </c>
      <c r="L30" s="36">
        <v>0</v>
      </c>
      <c r="M30" s="37">
        <f t="shared" si="1"/>
        <v>-70</v>
      </c>
      <c r="N30" t="str">
        <f t="shared" si="2"/>
        <v/>
      </c>
    </row>
    <row r="31" spans="2:16" ht="15" thickBot="1" x14ac:dyDescent="0.35">
      <c r="B31" s="38" t="s">
        <v>15</v>
      </c>
      <c r="C31" s="39">
        <v>0</v>
      </c>
      <c r="D31" s="39">
        <v>-20</v>
      </c>
      <c r="E31" s="39">
        <v>0</v>
      </c>
      <c r="F31" s="39">
        <v>0</v>
      </c>
      <c r="G31" s="39">
        <v>0</v>
      </c>
      <c r="H31" s="39">
        <v>-10</v>
      </c>
      <c r="I31" s="39">
        <v>-30</v>
      </c>
      <c r="J31" s="39">
        <v>-50</v>
      </c>
      <c r="K31" s="39">
        <v>0</v>
      </c>
      <c r="L31" s="39">
        <v>0</v>
      </c>
      <c r="M31" s="40">
        <f t="shared" si="1"/>
        <v>-110</v>
      </c>
      <c r="N31" t="str">
        <f t="shared" si="2"/>
        <v/>
      </c>
    </row>
    <row r="32" spans="2:16" ht="15" thickBot="1" x14ac:dyDescent="0.35"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</row>
    <row r="33" spans="2:16" ht="15" thickBot="1" x14ac:dyDescent="0.35">
      <c r="B33" s="47" t="s">
        <v>9</v>
      </c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9"/>
      <c r="N33" t="str">
        <f>IF(ABS(M22-M33)&gt;0.0001,"FAIL","")</f>
        <v/>
      </c>
    </row>
    <row r="34" spans="2:16" ht="15" thickBot="1" x14ac:dyDescent="0.35">
      <c r="B34" s="31"/>
      <c r="C34" s="32" t="s">
        <v>0</v>
      </c>
      <c r="D34" s="32" t="s">
        <v>1</v>
      </c>
      <c r="E34" s="32" t="s">
        <v>2</v>
      </c>
      <c r="F34" s="32" t="s">
        <v>3</v>
      </c>
      <c r="G34" s="32" t="s">
        <v>4</v>
      </c>
      <c r="H34" s="32" t="s">
        <v>11</v>
      </c>
      <c r="I34" s="32" t="s">
        <v>12</v>
      </c>
      <c r="J34" s="32" t="s">
        <v>13</v>
      </c>
      <c r="K34" s="32" t="s">
        <v>14</v>
      </c>
      <c r="L34" s="32" t="s">
        <v>15</v>
      </c>
      <c r="M34" s="33" t="s">
        <v>5</v>
      </c>
    </row>
    <row r="35" spans="2:16" x14ac:dyDescent="0.3">
      <c r="B35" s="34" t="s">
        <v>0</v>
      </c>
      <c r="C35" s="35"/>
      <c r="D35" s="36">
        <v>50</v>
      </c>
      <c r="E35" s="36">
        <v>30</v>
      </c>
      <c r="F35" s="36">
        <v>20</v>
      </c>
      <c r="G35" s="36">
        <v>-40</v>
      </c>
      <c r="H35" s="36">
        <v>-50</v>
      </c>
      <c r="I35" s="36">
        <v>30</v>
      </c>
      <c r="J35" s="36">
        <v>-40</v>
      </c>
      <c r="K35" s="36">
        <v>50</v>
      </c>
      <c r="L35" s="36">
        <v>-50</v>
      </c>
      <c r="M35" s="37">
        <f t="shared" ref="M35:M44" si="3">SUM(C35:L35)</f>
        <v>0</v>
      </c>
      <c r="N35" t="str">
        <f t="shared" si="2"/>
        <v/>
      </c>
      <c r="O35" s="2" t="s">
        <v>6</v>
      </c>
      <c r="P35" s="12">
        <f>SUMIF(C35:L44,"&gt;0")-SUMIF(C35:L44,"&lt;0")</f>
        <v>2840</v>
      </c>
    </row>
    <row r="36" spans="2:16" x14ac:dyDescent="0.3">
      <c r="B36" s="34" t="s">
        <v>1</v>
      </c>
      <c r="C36" s="35">
        <f t="array" ref="C36:C44">-TRANSPOSE(D35:L35)</f>
        <v>-50</v>
      </c>
      <c r="D36" s="35"/>
      <c r="E36" s="36">
        <v>50</v>
      </c>
      <c r="F36" s="36">
        <v>-20</v>
      </c>
      <c r="G36" s="36">
        <v>40</v>
      </c>
      <c r="H36" s="36">
        <v>-20</v>
      </c>
      <c r="I36" s="36">
        <v>-30</v>
      </c>
      <c r="J36" s="36">
        <v>30</v>
      </c>
      <c r="K36" s="36">
        <v>-20</v>
      </c>
      <c r="L36" s="36">
        <v>40</v>
      </c>
      <c r="M36" s="37">
        <f t="shared" si="3"/>
        <v>20</v>
      </c>
      <c r="N36" t="str">
        <f t="shared" si="2"/>
        <v/>
      </c>
      <c r="O36" s="5" t="s">
        <v>7</v>
      </c>
      <c r="P36" s="13">
        <f>SUMPRODUCT(C35:L44,C35:L44)</f>
        <v>108800</v>
      </c>
    </row>
    <row r="37" spans="2:16" ht="15" thickBot="1" x14ac:dyDescent="0.35">
      <c r="B37" s="34" t="s">
        <v>2</v>
      </c>
      <c r="C37" s="35">
        <v>-30</v>
      </c>
      <c r="D37" s="35">
        <f t="array" ref="D37:D44">-TRANSPOSE(E36:L36)</f>
        <v>-50</v>
      </c>
      <c r="E37" s="35"/>
      <c r="F37" s="36">
        <v>40</v>
      </c>
      <c r="G37" s="36">
        <v>60</v>
      </c>
      <c r="H37" s="36">
        <v>-30</v>
      </c>
      <c r="I37" s="36">
        <v>40</v>
      </c>
      <c r="J37" s="36">
        <v>-10</v>
      </c>
      <c r="K37" s="36">
        <v>30</v>
      </c>
      <c r="L37" s="36">
        <v>0</v>
      </c>
      <c r="M37" s="37">
        <f t="shared" si="3"/>
        <v>50</v>
      </c>
      <c r="N37" t="str">
        <f t="shared" si="2"/>
        <v/>
      </c>
      <c r="O37" s="8" t="s">
        <v>16</v>
      </c>
      <c r="P37" s="14">
        <f>(COUNTIF(C35:L44,"&gt;0.00001")+COUNTIF(C35:L44,"&lt;-0.00001"))/2</f>
        <v>43</v>
      </c>
    </row>
    <row r="38" spans="2:16" x14ac:dyDescent="0.3">
      <c r="B38" s="34" t="s">
        <v>3</v>
      </c>
      <c r="C38" s="35">
        <v>-20</v>
      </c>
      <c r="D38" s="35">
        <v>20</v>
      </c>
      <c r="E38" s="35">
        <f t="array" ref="E38:E44">-TRANSPOSE(F37:L37)</f>
        <v>-40</v>
      </c>
      <c r="F38" s="35"/>
      <c r="G38" s="36">
        <v>20</v>
      </c>
      <c r="H38" s="36">
        <v>-50</v>
      </c>
      <c r="I38" s="36">
        <v>-50</v>
      </c>
      <c r="J38" s="36">
        <v>-20</v>
      </c>
      <c r="K38" s="36">
        <v>40</v>
      </c>
      <c r="L38" s="36">
        <v>40</v>
      </c>
      <c r="M38" s="37">
        <f t="shared" si="3"/>
        <v>-60</v>
      </c>
      <c r="N38" t="str">
        <f t="shared" si="2"/>
        <v/>
      </c>
      <c r="O38" s="6"/>
      <c r="P38" s="6"/>
    </row>
    <row r="39" spans="2:16" x14ac:dyDescent="0.3">
      <c r="B39" s="34" t="s">
        <v>4</v>
      </c>
      <c r="C39" s="35">
        <v>40</v>
      </c>
      <c r="D39" s="35">
        <v>-40</v>
      </c>
      <c r="E39" s="35">
        <v>-60</v>
      </c>
      <c r="F39" s="35">
        <f t="array" ref="F39:F44">-TRANSPOSE(G38:L38)</f>
        <v>-20</v>
      </c>
      <c r="G39" s="35"/>
      <c r="H39" s="36">
        <v>-20</v>
      </c>
      <c r="I39" s="36">
        <v>0</v>
      </c>
      <c r="J39" s="36">
        <v>20</v>
      </c>
      <c r="K39" s="36">
        <v>10</v>
      </c>
      <c r="L39" s="36">
        <v>-20</v>
      </c>
      <c r="M39" s="37">
        <f t="shared" si="3"/>
        <v>-90</v>
      </c>
      <c r="N39" t="str">
        <f t="shared" si="2"/>
        <v/>
      </c>
      <c r="O39" s="6"/>
      <c r="P39" s="6"/>
    </row>
    <row r="40" spans="2:16" x14ac:dyDescent="0.3">
      <c r="B40" s="34" t="s">
        <v>11</v>
      </c>
      <c r="C40" s="35">
        <v>50</v>
      </c>
      <c r="D40" s="35">
        <v>20</v>
      </c>
      <c r="E40" s="35">
        <v>30</v>
      </c>
      <c r="F40" s="35">
        <v>50</v>
      </c>
      <c r="G40" s="35">
        <f t="array" ref="G40:G44">-TRANSPOSE(H39:L39)</f>
        <v>20</v>
      </c>
      <c r="H40" s="35"/>
      <c r="I40" s="36">
        <v>-50</v>
      </c>
      <c r="J40" s="36">
        <v>20</v>
      </c>
      <c r="K40" s="36">
        <v>-50</v>
      </c>
      <c r="L40" s="36">
        <v>20</v>
      </c>
      <c r="M40" s="37">
        <f t="shared" si="3"/>
        <v>110</v>
      </c>
      <c r="N40" t="str">
        <f t="shared" si="2"/>
        <v/>
      </c>
      <c r="O40" s="6"/>
      <c r="P40" s="6"/>
    </row>
    <row r="41" spans="2:16" x14ac:dyDescent="0.3">
      <c r="B41" s="34" t="s">
        <v>12</v>
      </c>
      <c r="C41" s="35">
        <v>-30</v>
      </c>
      <c r="D41" s="35">
        <v>30</v>
      </c>
      <c r="E41" s="35">
        <v>-40</v>
      </c>
      <c r="F41" s="35">
        <v>50</v>
      </c>
      <c r="G41" s="35">
        <v>0</v>
      </c>
      <c r="H41" s="35">
        <f t="array" ref="H41:H44">-TRANSPOSE(I40:L40)</f>
        <v>50</v>
      </c>
      <c r="I41" s="35"/>
      <c r="J41" s="36">
        <v>-50</v>
      </c>
      <c r="K41" s="36">
        <v>20</v>
      </c>
      <c r="L41" s="36">
        <v>20</v>
      </c>
      <c r="M41" s="37">
        <f t="shared" si="3"/>
        <v>50</v>
      </c>
      <c r="N41" t="str">
        <f t="shared" si="2"/>
        <v/>
      </c>
      <c r="O41" s="6"/>
      <c r="P41" s="6"/>
    </row>
    <row r="42" spans="2:16" x14ac:dyDescent="0.3">
      <c r="B42" s="34" t="s">
        <v>13</v>
      </c>
      <c r="C42" s="35">
        <v>40</v>
      </c>
      <c r="D42" s="35">
        <v>-30</v>
      </c>
      <c r="E42" s="35">
        <v>10</v>
      </c>
      <c r="F42" s="35">
        <v>20</v>
      </c>
      <c r="G42" s="35">
        <v>-20</v>
      </c>
      <c r="H42" s="35">
        <v>-20</v>
      </c>
      <c r="I42" s="35">
        <f t="array" ref="I42:I44">-TRANSPOSE(J41:L41)</f>
        <v>50</v>
      </c>
      <c r="J42" s="35"/>
      <c r="K42" s="36">
        <v>20</v>
      </c>
      <c r="L42" s="36">
        <v>30</v>
      </c>
      <c r="M42" s="37">
        <f t="shared" si="3"/>
        <v>100</v>
      </c>
      <c r="N42" t="str">
        <f t="shared" si="2"/>
        <v/>
      </c>
      <c r="O42" s="6"/>
      <c r="P42" s="6"/>
    </row>
    <row r="43" spans="2:16" x14ac:dyDescent="0.3">
      <c r="B43" s="34" t="s">
        <v>14</v>
      </c>
      <c r="C43" s="35">
        <v>-50</v>
      </c>
      <c r="D43" s="35">
        <v>20</v>
      </c>
      <c r="E43" s="35">
        <v>-30</v>
      </c>
      <c r="F43" s="35">
        <v>-40</v>
      </c>
      <c r="G43" s="35">
        <v>-10</v>
      </c>
      <c r="H43" s="35">
        <v>50</v>
      </c>
      <c r="I43" s="35">
        <v>-20</v>
      </c>
      <c r="J43" s="35">
        <f t="array" ref="J43:J44">-TRANSPOSE(K42:L42)</f>
        <v>-20</v>
      </c>
      <c r="K43" s="35"/>
      <c r="L43" s="36">
        <v>30</v>
      </c>
      <c r="M43" s="37">
        <f t="shared" si="3"/>
        <v>-70</v>
      </c>
      <c r="N43" t="str">
        <f t="shared" si="2"/>
        <v/>
      </c>
      <c r="O43" s="11"/>
      <c r="P43" s="11"/>
    </row>
    <row r="44" spans="2:16" ht="15" thickBot="1" x14ac:dyDescent="0.35">
      <c r="B44" s="38" t="s">
        <v>15</v>
      </c>
      <c r="C44" s="39">
        <v>50</v>
      </c>
      <c r="D44" s="39">
        <v>-40</v>
      </c>
      <c r="E44" s="39">
        <v>0</v>
      </c>
      <c r="F44" s="39">
        <v>-40</v>
      </c>
      <c r="G44" s="39">
        <v>20</v>
      </c>
      <c r="H44" s="39">
        <v>-20</v>
      </c>
      <c r="I44" s="39">
        <v>-20</v>
      </c>
      <c r="J44" s="39">
        <v>-30</v>
      </c>
      <c r="K44" s="39">
        <f t="array" ref="K44">-TRANSPOSE(L43)</f>
        <v>-30</v>
      </c>
      <c r="L44" s="39"/>
      <c r="M44" s="40">
        <f t="shared" si="3"/>
        <v>-110</v>
      </c>
      <c r="N44" t="str">
        <f t="shared" si="2"/>
        <v/>
      </c>
    </row>
    <row r="45" spans="2:16" x14ac:dyDescent="0.3"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6"/>
    </row>
  </sheetData>
  <mergeCells count="3">
    <mergeCell ref="B7:M7"/>
    <mergeCell ref="B20:M20"/>
    <mergeCell ref="B33:M3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5cntrptys</vt:lpstr>
      <vt:lpstr>10cntrptys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</dc:creator>
  <cp:lastModifiedBy>Jon Gregory</cp:lastModifiedBy>
  <dcterms:created xsi:type="dcterms:W3CDTF">2013-09-04T20:02:43Z</dcterms:created>
  <dcterms:modified xsi:type="dcterms:W3CDTF">2020-06-18T15:03:19Z</dcterms:modified>
</cp:coreProperties>
</file>