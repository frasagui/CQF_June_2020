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02eee3437eb7218/Documents/TrainingCourses/CQF/Basel/"/>
    </mc:Choice>
  </mc:AlternateContent>
  <xr:revisionPtr revIDLastSave="42" documentId="8_{3FBEA4B2-94DB-4205-A5C2-3D57FC9B6EB1}" xr6:coauthVersionLast="45" xr6:coauthVersionMax="45" xr10:uidLastSave="{AE3B6557-BD2D-4D4F-868D-0C62273FB47C}"/>
  <bookViews>
    <workbookView xWindow="-108" yWindow="-108" windowWidth="23256" windowHeight="12576" xr2:uid="{BFDE3F04-EADA-4D14-8ADE-23836A551B81}"/>
  </bookViews>
  <sheets>
    <sheet name="Credit Portfolio" sheetId="1" r:id="rId1"/>
    <sheet name="Conditional PD distribution" sheetId="5" r:id="rId2"/>
  </sheets>
  <functionGroups builtInGroupCount="19"/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1" l="1"/>
  <c r="K9" i="1" l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G10" i="1"/>
  <c r="G6" i="1"/>
  <c r="G5" i="1"/>
  <c r="G11" i="1"/>
  <c r="G9" i="1"/>
  <c r="G8" i="1"/>
  <c r="G12" i="1"/>
  <c r="L7" i="1"/>
  <c r="R7" i="1"/>
  <c r="R6" i="1" s="1"/>
  <c r="T6" i="1" s="1"/>
  <c r="E16" i="1" a="1"/>
  <c r="D16" i="1" a="1"/>
  <c r="C16" i="1" a="1"/>
  <c r="B16" i="1" a="1"/>
  <c r="G13" i="1" l="1"/>
  <c r="B19" i="1"/>
  <c r="B27" i="1"/>
  <c r="B35" i="1"/>
  <c r="B43" i="1"/>
  <c r="B51" i="1"/>
  <c r="B59" i="1"/>
  <c r="B67" i="1"/>
  <c r="B75" i="1"/>
  <c r="B83" i="1"/>
  <c r="B91" i="1"/>
  <c r="B99" i="1"/>
  <c r="B107" i="1"/>
  <c r="B115" i="1"/>
  <c r="B123" i="1"/>
  <c r="B131" i="1"/>
  <c r="B139" i="1"/>
  <c r="B147" i="1"/>
  <c r="B155" i="1"/>
  <c r="B163" i="1"/>
  <c r="B171" i="1"/>
  <c r="B84" i="1"/>
  <c r="B108" i="1"/>
  <c r="B140" i="1"/>
  <c r="B20" i="1"/>
  <c r="B28" i="1"/>
  <c r="B36" i="1"/>
  <c r="B44" i="1"/>
  <c r="B52" i="1"/>
  <c r="B60" i="1"/>
  <c r="B68" i="1"/>
  <c r="B76" i="1"/>
  <c r="B92" i="1"/>
  <c r="B100" i="1"/>
  <c r="B116" i="1"/>
  <c r="B124" i="1"/>
  <c r="B132" i="1"/>
  <c r="B148" i="1"/>
  <c r="B22" i="1"/>
  <c r="B30" i="1"/>
  <c r="B38" i="1"/>
  <c r="B46" i="1"/>
  <c r="B54" i="1"/>
  <c r="B62" i="1"/>
  <c r="B70" i="1"/>
  <c r="B78" i="1"/>
  <c r="B86" i="1"/>
  <c r="B94" i="1"/>
  <c r="B102" i="1"/>
  <c r="B110" i="1"/>
  <c r="B118" i="1"/>
  <c r="B126" i="1"/>
  <c r="B134" i="1"/>
  <c r="B142" i="1"/>
  <c r="B150" i="1"/>
  <c r="B158" i="1"/>
  <c r="B166" i="1"/>
  <c r="B174" i="1"/>
  <c r="B24" i="1"/>
  <c r="B37" i="1"/>
  <c r="B49" i="1"/>
  <c r="B63" i="1"/>
  <c r="B74" i="1"/>
  <c r="B88" i="1"/>
  <c r="B101" i="1"/>
  <c r="B113" i="1"/>
  <c r="B127" i="1"/>
  <c r="B138" i="1"/>
  <c r="B152" i="1"/>
  <c r="B162" i="1"/>
  <c r="B173" i="1"/>
  <c r="B26" i="1"/>
  <c r="B40" i="1"/>
  <c r="B53" i="1"/>
  <c r="B65" i="1"/>
  <c r="B79" i="1"/>
  <c r="B90" i="1"/>
  <c r="B104" i="1"/>
  <c r="B117" i="1"/>
  <c r="B129" i="1"/>
  <c r="B143" i="1"/>
  <c r="B154" i="1"/>
  <c r="B165" i="1"/>
  <c r="B31" i="1"/>
  <c r="B81" i="1"/>
  <c r="B120" i="1"/>
  <c r="B168" i="1"/>
  <c r="B18" i="1"/>
  <c r="B57" i="1"/>
  <c r="B109" i="1"/>
  <c r="B159" i="1"/>
  <c r="B170" i="1"/>
  <c r="B23" i="1"/>
  <c r="B73" i="1"/>
  <c r="B125" i="1"/>
  <c r="B25" i="1"/>
  <c r="B39" i="1"/>
  <c r="B50" i="1"/>
  <c r="B64" i="1"/>
  <c r="B77" i="1"/>
  <c r="B89" i="1"/>
  <c r="B103" i="1"/>
  <c r="B114" i="1"/>
  <c r="B128" i="1"/>
  <c r="B141" i="1"/>
  <c r="B153" i="1"/>
  <c r="B164" i="1"/>
  <c r="B175" i="1"/>
  <c r="B41" i="1"/>
  <c r="B80" i="1"/>
  <c r="B105" i="1"/>
  <c r="B130" i="1"/>
  <c r="B144" i="1"/>
  <c r="B167" i="1"/>
  <c r="B56" i="1"/>
  <c r="B106" i="1"/>
  <c r="B157" i="1"/>
  <c r="B45" i="1"/>
  <c r="B82" i="1"/>
  <c r="B135" i="1"/>
  <c r="B48" i="1"/>
  <c r="B112" i="1"/>
  <c r="B32" i="1"/>
  <c r="B96" i="1"/>
  <c r="B146" i="1"/>
  <c r="B87" i="1"/>
  <c r="B161" i="1"/>
  <c r="B16" i="1"/>
  <c r="B29" i="1"/>
  <c r="B55" i="1"/>
  <c r="B66" i="1"/>
  <c r="B93" i="1"/>
  <c r="B119" i="1"/>
  <c r="B156" i="1"/>
  <c r="B42" i="1"/>
  <c r="B95" i="1"/>
  <c r="B145" i="1"/>
  <c r="B34" i="1"/>
  <c r="B137" i="1"/>
  <c r="B17" i="1"/>
  <c r="B69" i="1"/>
  <c r="B133" i="1"/>
  <c r="B71" i="1"/>
  <c r="B121" i="1"/>
  <c r="B169" i="1"/>
  <c r="B98" i="1"/>
  <c r="B151" i="1"/>
  <c r="B21" i="1"/>
  <c r="B33" i="1"/>
  <c r="B47" i="1"/>
  <c r="B58" i="1"/>
  <c r="B72" i="1"/>
  <c r="B85" i="1"/>
  <c r="B97" i="1"/>
  <c r="B111" i="1"/>
  <c r="B122" i="1"/>
  <c r="B136" i="1"/>
  <c r="B149" i="1"/>
  <c r="B160" i="1"/>
  <c r="B61" i="1"/>
  <c r="B172" i="1"/>
  <c r="C17" i="1"/>
  <c r="C25" i="1"/>
  <c r="C33" i="1"/>
  <c r="C18" i="1"/>
  <c r="C26" i="1"/>
  <c r="C34" i="1"/>
  <c r="C42" i="1"/>
  <c r="C50" i="1"/>
  <c r="C58" i="1"/>
  <c r="C19" i="1"/>
  <c r="C27" i="1"/>
  <c r="C35" i="1"/>
  <c r="C43" i="1"/>
  <c r="C51" i="1"/>
  <c r="C59" i="1"/>
  <c r="C20" i="1"/>
  <c r="C28" i="1"/>
  <c r="C36" i="1"/>
  <c r="C44" i="1"/>
  <c r="C52" i="1"/>
  <c r="C60" i="1"/>
  <c r="C68" i="1"/>
  <c r="C76" i="1"/>
  <c r="C84" i="1"/>
  <c r="C92" i="1"/>
  <c r="C100" i="1"/>
  <c r="C108" i="1"/>
  <c r="C116" i="1"/>
  <c r="C124" i="1"/>
  <c r="C132" i="1"/>
  <c r="C140" i="1"/>
  <c r="C148" i="1"/>
  <c r="C156" i="1"/>
  <c r="C164" i="1"/>
  <c r="C172" i="1"/>
  <c r="C21" i="1"/>
  <c r="C29" i="1"/>
  <c r="C37" i="1"/>
  <c r="C45" i="1"/>
  <c r="C53" i="1"/>
  <c r="C61" i="1"/>
  <c r="C69" i="1"/>
  <c r="C77" i="1"/>
  <c r="C85" i="1"/>
  <c r="C93" i="1"/>
  <c r="C101" i="1"/>
  <c r="C109" i="1"/>
  <c r="C117" i="1"/>
  <c r="C125" i="1"/>
  <c r="C133" i="1"/>
  <c r="C141" i="1"/>
  <c r="C149" i="1"/>
  <c r="C157" i="1"/>
  <c r="C165" i="1"/>
  <c r="C173" i="1"/>
  <c r="C23" i="1"/>
  <c r="C31" i="1"/>
  <c r="C39" i="1"/>
  <c r="C47" i="1"/>
  <c r="C55" i="1"/>
  <c r="C63" i="1"/>
  <c r="C71" i="1"/>
  <c r="C79" i="1"/>
  <c r="C87" i="1"/>
  <c r="C95" i="1"/>
  <c r="C103" i="1"/>
  <c r="C111" i="1"/>
  <c r="C119" i="1"/>
  <c r="C127" i="1"/>
  <c r="C135" i="1"/>
  <c r="C143" i="1"/>
  <c r="C151" i="1"/>
  <c r="C159" i="1"/>
  <c r="C167" i="1"/>
  <c r="C175" i="1"/>
  <c r="C30" i="1"/>
  <c r="C54" i="1"/>
  <c r="C70" i="1"/>
  <c r="C82" i="1"/>
  <c r="C96" i="1"/>
  <c r="C107" i="1"/>
  <c r="C121" i="1"/>
  <c r="C134" i="1"/>
  <c r="C146" i="1"/>
  <c r="C160" i="1"/>
  <c r="C171" i="1"/>
  <c r="C64" i="1"/>
  <c r="C153" i="1"/>
  <c r="C46" i="1"/>
  <c r="C104" i="1"/>
  <c r="C142" i="1"/>
  <c r="C24" i="1"/>
  <c r="C94" i="1"/>
  <c r="C131" i="1"/>
  <c r="C32" i="1"/>
  <c r="C56" i="1"/>
  <c r="C72" i="1"/>
  <c r="C83" i="1"/>
  <c r="C97" i="1"/>
  <c r="C110" i="1"/>
  <c r="C122" i="1"/>
  <c r="C136" i="1"/>
  <c r="C147" i="1"/>
  <c r="C161" i="1"/>
  <c r="C174" i="1"/>
  <c r="C128" i="1"/>
  <c r="C16" i="1"/>
  <c r="C90" i="1"/>
  <c r="C115" i="1"/>
  <c r="C168" i="1"/>
  <c r="C49" i="1"/>
  <c r="C106" i="1"/>
  <c r="C170" i="1"/>
  <c r="C38" i="1"/>
  <c r="C57" i="1"/>
  <c r="C73" i="1"/>
  <c r="C86" i="1"/>
  <c r="C98" i="1"/>
  <c r="C112" i="1"/>
  <c r="C123" i="1"/>
  <c r="C137" i="1"/>
  <c r="C150" i="1"/>
  <c r="C162" i="1"/>
  <c r="C65" i="1"/>
  <c r="C129" i="1"/>
  <c r="C81" i="1"/>
  <c r="C158" i="1"/>
  <c r="C40" i="1"/>
  <c r="C62" i="1"/>
  <c r="C74" i="1"/>
  <c r="C88" i="1"/>
  <c r="C99" i="1"/>
  <c r="C113" i="1"/>
  <c r="C126" i="1"/>
  <c r="C138" i="1"/>
  <c r="C152" i="1"/>
  <c r="C163" i="1"/>
  <c r="C166" i="1"/>
  <c r="C120" i="1"/>
  <c r="C41" i="1"/>
  <c r="C75" i="1"/>
  <c r="C89" i="1"/>
  <c r="C102" i="1"/>
  <c r="C114" i="1"/>
  <c r="C139" i="1"/>
  <c r="C78" i="1"/>
  <c r="C154" i="1"/>
  <c r="C22" i="1"/>
  <c r="C48" i="1"/>
  <c r="C66" i="1"/>
  <c r="C80" i="1"/>
  <c r="C91" i="1"/>
  <c r="C105" i="1"/>
  <c r="C118" i="1"/>
  <c r="C130" i="1"/>
  <c r="C144" i="1"/>
  <c r="C155" i="1"/>
  <c r="C169" i="1"/>
  <c r="C67" i="1"/>
  <c r="C145" i="1"/>
  <c r="D18" i="1"/>
  <c r="D26" i="1"/>
  <c r="D34" i="1"/>
  <c r="D42" i="1"/>
  <c r="D50" i="1"/>
  <c r="D58" i="1"/>
  <c r="D66" i="1"/>
  <c r="D74" i="1"/>
  <c r="D82" i="1"/>
  <c r="D90" i="1"/>
  <c r="D98" i="1"/>
  <c r="D106" i="1"/>
  <c r="D114" i="1"/>
  <c r="D122" i="1"/>
  <c r="D130" i="1"/>
  <c r="D138" i="1"/>
  <c r="D146" i="1"/>
  <c r="D154" i="1"/>
  <c r="D162" i="1"/>
  <c r="D170" i="1"/>
  <c r="D19" i="1"/>
  <c r="D27" i="1"/>
  <c r="D35" i="1"/>
  <c r="D43" i="1"/>
  <c r="D51" i="1"/>
  <c r="D59" i="1"/>
  <c r="D67" i="1"/>
  <c r="D75" i="1"/>
  <c r="D83" i="1"/>
  <c r="D91" i="1"/>
  <c r="D99" i="1"/>
  <c r="D107" i="1"/>
  <c r="D115" i="1"/>
  <c r="D123" i="1"/>
  <c r="D131" i="1"/>
  <c r="D139" i="1"/>
  <c r="D147" i="1"/>
  <c r="D155" i="1"/>
  <c r="D163" i="1"/>
  <c r="D171" i="1"/>
  <c r="D20" i="1"/>
  <c r="D28" i="1"/>
  <c r="D36" i="1"/>
  <c r="D44" i="1"/>
  <c r="D52" i="1"/>
  <c r="D60" i="1"/>
  <c r="D68" i="1"/>
  <c r="D76" i="1"/>
  <c r="D84" i="1"/>
  <c r="D92" i="1"/>
  <c r="D100" i="1"/>
  <c r="D108" i="1"/>
  <c r="D116" i="1"/>
  <c r="D124" i="1"/>
  <c r="D132" i="1"/>
  <c r="D140" i="1"/>
  <c r="D148" i="1"/>
  <c r="D156" i="1"/>
  <c r="D164" i="1"/>
  <c r="D172" i="1"/>
  <c r="D21" i="1"/>
  <c r="D29" i="1"/>
  <c r="D37" i="1"/>
  <c r="D45" i="1"/>
  <c r="D53" i="1"/>
  <c r="D61" i="1"/>
  <c r="D69" i="1"/>
  <c r="D77" i="1"/>
  <c r="D85" i="1"/>
  <c r="D93" i="1"/>
  <c r="D101" i="1"/>
  <c r="D109" i="1"/>
  <c r="D117" i="1"/>
  <c r="D125" i="1"/>
  <c r="D133" i="1"/>
  <c r="D141" i="1"/>
  <c r="D149" i="1"/>
  <c r="D157" i="1"/>
  <c r="D165" i="1"/>
  <c r="D173" i="1"/>
  <c r="D22" i="1"/>
  <c r="D30" i="1"/>
  <c r="D38" i="1"/>
  <c r="D46" i="1"/>
  <c r="D54" i="1"/>
  <c r="D62" i="1"/>
  <c r="D70" i="1"/>
  <c r="D78" i="1"/>
  <c r="D86" i="1"/>
  <c r="D94" i="1"/>
  <c r="D102" i="1"/>
  <c r="D110" i="1"/>
  <c r="D118" i="1"/>
  <c r="D126" i="1"/>
  <c r="D134" i="1"/>
  <c r="D142" i="1"/>
  <c r="D150" i="1"/>
  <c r="D158" i="1"/>
  <c r="D166" i="1"/>
  <c r="D174" i="1"/>
  <c r="D16" i="1"/>
  <c r="D24" i="1"/>
  <c r="D32" i="1"/>
  <c r="D40" i="1"/>
  <c r="D48" i="1"/>
  <c r="D56" i="1"/>
  <c r="D64" i="1"/>
  <c r="D72" i="1"/>
  <c r="D80" i="1"/>
  <c r="D88" i="1"/>
  <c r="D96" i="1"/>
  <c r="D104" i="1"/>
  <c r="D112" i="1"/>
  <c r="D120" i="1"/>
  <c r="D128" i="1"/>
  <c r="D136" i="1"/>
  <c r="D144" i="1"/>
  <c r="D152" i="1"/>
  <c r="D160" i="1"/>
  <c r="D168" i="1"/>
  <c r="D31" i="1"/>
  <c r="D63" i="1"/>
  <c r="D95" i="1"/>
  <c r="D127" i="1"/>
  <c r="D159" i="1"/>
  <c r="D17" i="1"/>
  <c r="D25" i="1"/>
  <c r="D33" i="1"/>
  <c r="D65" i="1"/>
  <c r="D97" i="1"/>
  <c r="D129" i="1"/>
  <c r="D161" i="1"/>
  <c r="D81" i="1"/>
  <c r="D121" i="1"/>
  <c r="D39" i="1"/>
  <c r="D71" i="1"/>
  <c r="D103" i="1"/>
  <c r="D135" i="1"/>
  <c r="D167" i="1"/>
  <c r="D49" i="1"/>
  <c r="D153" i="1"/>
  <c r="D41" i="1"/>
  <c r="D73" i="1"/>
  <c r="D105" i="1"/>
  <c r="D137" i="1"/>
  <c r="D169" i="1"/>
  <c r="D175" i="1"/>
  <c r="D57" i="1"/>
  <c r="D47" i="1"/>
  <c r="D79" i="1"/>
  <c r="D111" i="1"/>
  <c r="D143" i="1"/>
  <c r="D113" i="1"/>
  <c r="D145" i="1"/>
  <c r="D23" i="1"/>
  <c r="D55" i="1"/>
  <c r="D87" i="1"/>
  <c r="D119" i="1"/>
  <c r="D151" i="1"/>
  <c r="D89" i="1"/>
  <c r="E19" i="1"/>
  <c r="E27" i="1"/>
  <c r="E35" i="1"/>
  <c r="E43" i="1"/>
  <c r="E51" i="1"/>
  <c r="E59" i="1"/>
  <c r="E67" i="1"/>
  <c r="E75" i="1"/>
  <c r="E83" i="1"/>
  <c r="E91" i="1"/>
  <c r="E99" i="1"/>
  <c r="E107" i="1"/>
  <c r="E115" i="1"/>
  <c r="E123" i="1"/>
  <c r="E131" i="1"/>
  <c r="E139" i="1"/>
  <c r="E147" i="1"/>
  <c r="E155" i="1"/>
  <c r="E163" i="1"/>
  <c r="E171" i="1"/>
  <c r="E20" i="1"/>
  <c r="E28" i="1"/>
  <c r="E36" i="1"/>
  <c r="E44" i="1"/>
  <c r="E52" i="1"/>
  <c r="E60" i="1"/>
  <c r="E68" i="1"/>
  <c r="E76" i="1"/>
  <c r="E84" i="1"/>
  <c r="E92" i="1"/>
  <c r="E100" i="1"/>
  <c r="E108" i="1"/>
  <c r="E116" i="1"/>
  <c r="E124" i="1"/>
  <c r="E132" i="1"/>
  <c r="E140" i="1"/>
  <c r="E148" i="1"/>
  <c r="E156" i="1"/>
  <c r="E164" i="1"/>
  <c r="E172" i="1"/>
  <c r="E21" i="1"/>
  <c r="E29" i="1"/>
  <c r="E37" i="1"/>
  <c r="E45" i="1"/>
  <c r="E53" i="1"/>
  <c r="E61" i="1"/>
  <c r="E69" i="1"/>
  <c r="E77" i="1"/>
  <c r="E85" i="1"/>
  <c r="E93" i="1"/>
  <c r="E101" i="1"/>
  <c r="E109" i="1"/>
  <c r="E117" i="1"/>
  <c r="E125" i="1"/>
  <c r="E133" i="1"/>
  <c r="E141" i="1"/>
  <c r="E149" i="1"/>
  <c r="E157" i="1"/>
  <c r="E165" i="1"/>
  <c r="E173" i="1"/>
  <c r="E22" i="1"/>
  <c r="E30" i="1"/>
  <c r="E38" i="1"/>
  <c r="E46" i="1"/>
  <c r="E54" i="1"/>
  <c r="E62" i="1"/>
  <c r="E70" i="1"/>
  <c r="E78" i="1"/>
  <c r="E86" i="1"/>
  <c r="E94" i="1"/>
  <c r="E102" i="1"/>
  <c r="E110" i="1"/>
  <c r="E118" i="1"/>
  <c r="E126" i="1"/>
  <c r="E134" i="1"/>
  <c r="E142" i="1"/>
  <c r="E150" i="1"/>
  <c r="E158" i="1"/>
  <c r="E166" i="1"/>
  <c r="E174" i="1"/>
  <c r="E23" i="1"/>
  <c r="E31" i="1"/>
  <c r="E39" i="1"/>
  <c r="E47" i="1"/>
  <c r="E55" i="1"/>
  <c r="E63" i="1"/>
  <c r="E71" i="1"/>
  <c r="E79" i="1"/>
  <c r="E87" i="1"/>
  <c r="E95" i="1"/>
  <c r="E103" i="1"/>
  <c r="E111" i="1"/>
  <c r="E119" i="1"/>
  <c r="E127" i="1"/>
  <c r="E135" i="1"/>
  <c r="E143" i="1"/>
  <c r="E151" i="1"/>
  <c r="E159" i="1"/>
  <c r="E167" i="1"/>
  <c r="E175" i="1"/>
  <c r="E16" i="1"/>
  <c r="E24" i="1"/>
  <c r="E32" i="1"/>
  <c r="E40" i="1"/>
  <c r="E48" i="1"/>
  <c r="E56" i="1"/>
  <c r="E64" i="1"/>
  <c r="E72" i="1"/>
  <c r="E80" i="1"/>
  <c r="E88" i="1"/>
  <c r="E96" i="1"/>
  <c r="E104" i="1"/>
  <c r="E112" i="1"/>
  <c r="E120" i="1"/>
  <c r="E128" i="1"/>
  <c r="E136" i="1"/>
  <c r="E144" i="1"/>
  <c r="E152" i="1"/>
  <c r="E160" i="1"/>
  <c r="E168" i="1"/>
  <c r="E17" i="1"/>
  <c r="E25" i="1"/>
  <c r="E33" i="1"/>
  <c r="E41" i="1"/>
  <c r="E49" i="1"/>
  <c r="E57" i="1"/>
  <c r="E65" i="1"/>
  <c r="E73" i="1"/>
  <c r="E81" i="1"/>
  <c r="E89" i="1"/>
  <c r="E97" i="1"/>
  <c r="E105" i="1"/>
  <c r="E113" i="1"/>
  <c r="E121" i="1"/>
  <c r="E129" i="1"/>
  <c r="E137" i="1"/>
  <c r="E145" i="1"/>
  <c r="E153" i="1"/>
  <c r="E161" i="1"/>
  <c r="E169" i="1"/>
  <c r="E74" i="1"/>
  <c r="E138" i="1"/>
  <c r="E18" i="1"/>
  <c r="E82" i="1"/>
  <c r="E146" i="1"/>
  <c r="E50" i="1"/>
  <c r="E130" i="1"/>
  <c r="E26" i="1"/>
  <c r="E90" i="1"/>
  <c r="E154" i="1"/>
  <c r="E66" i="1"/>
  <c r="E34" i="1"/>
  <c r="E98" i="1"/>
  <c r="E162" i="1"/>
  <c r="E42" i="1"/>
  <c r="E106" i="1"/>
  <c r="E170" i="1"/>
  <c r="E114" i="1"/>
  <c r="E58" i="1"/>
  <c r="E122" i="1"/>
  <c r="O6" i="1" a="1"/>
  <c r="N6" i="1" a="1"/>
  <c r="N13" i="1" l="1"/>
  <c r="N21" i="1"/>
  <c r="N29" i="1"/>
  <c r="N37" i="1"/>
  <c r="N45" i="1"/>
  <c r="N53" i="1"/>
  <c r="N61" i="1"/>
  <c r="N69" i="1"/>
  <c r="N77" i="1"/>
  <c r="N85" i="1"/>
  <c r="N93" i="1"/>
  <c r="N101" i="1"/>
  <c r="N109" i="1"/>
  <c r="N117" i="1"/>
  <c r="N125" i="1"/>
  <c r="N133" i="1"/>
  <c r="N141" i="1"/>
  <c r="N149" i="1"/>
  <c r="N157" i="1"/>
  <c r="N165" i="1"/>
  <c r="N173" i="1"/>
  <c r="N181" i="1"/>
  <c r="N189" i="1"/>
  <c r="N197" i="1"/>
  <c r="N205" i="1"/>
  <c r="N213" i="1"/>
  <c r="N221" i="1"/>
  <c r="N229" i="1"/>
  <c r="N237" i="1"/>
  <c r="N245" i="1"/>
  <c r="N253" i="1"/>
  <c r="N261" i="1"/>
  <c r="N269" i="1"/>
  <c r="N277" i="1"/>
  <c r="N285" i="1"/>
  <c r="N293" i="1"/>
  <c r="N301" i="1"/>
  <c r="N309" i="1"/>
  <c r="N317" i="1"/>
  <c r="N325" i="1"/>
  <c r="N333" i="1"/>
  <c r="N341" i="1"/>
  <c r="N349" i="1"/>
  <c r="N357" i="1"/>
  <c r="N365" i="1"/>
  <c r="N373" i="1"/>
  <c r="N381" i="1"/>
  <c r="N389" i="1"/>
  <c r="N397" i="1"/>
  <c r="N405" i="1"/>
  <c r="N413" i="1"/>
  <c r="N421" i="1"/>
  <c r="N429" i="1"/>
  <c r="N437" i="1"/>
  <c r="N445" i="1"/>
  <c r="N453" i="1"/>
  <c r="N461" i="1"/>
  <c r="N469" i="1"/>
  <c r="N477" i="1"/>
  <c r="N485" i="1"/>
  <c r="N493" i="1"/>
  <c r="N501" i="1"/>
  <c r="N509" i="1"/>
  <c r="N517" i="1"/>
  <c r="N525" i="1"/>
  <c r="N533" i="1"/>
  <c r="N541" i="1"/>
  <c r="N549" i="1"/>
  <c r="N557" i="1"/>
  <c r="N565" i="1"/>
  <c r="N573" i="1"/>
  <c r="N581" i="1"/>
  <c r="N589" i="1"/>
  <c r="N597" i="1"/>
  <c r="N605" i="1"/>
  <c r="N613" i="1"/>
  <c r="N621" i="1"/>
  <c r="N629" i="1"/>
  <c r="N637" i="1"/>
  <c r="N645" i="1"/>
  <c r="N653" i="1"/>
  <c r="N661" i="1"/>
  <c r="N669" i="1"/>
  <c r="N6" i="1"/>
  <c r="N14" i="1"/>
  <c r="N22" i="1"/>
  <c r="N30" i="1"/>
  <c r="N38" i="1"/>
  <c r="N46" i="1"/>
  <c r="N54" i="1"/>
  <c r="N62" i="1"/>
  <c r="N70" i="1"/>
  <c r="N78" i="1"/>
  <c r="N86" i="1"/>
  <c r="N94" i="1"/>
  <c r="N102" i="1"/>
  <c r="N110" i="1"/>
  <c r="N118" i="1"/>
  <c r="N126" i="1"/>
  <c r="N134" i="1"/>
  <c r="N142" i="1"/>
  <c r="N150" i="1"/>
  <c r="N158" i="1"/>
  <c r="N166" i="1"/>
  <c r="N174" i="1"/>
  <c r="N182" i="1"/>
  <c r="N190" i="1"/>
  <c r="N198" i="1"/>
  <c r="N206" i="1"/>
  <c r="N214" i="1"/>
  <c r="N222" i="1"/>
  <c r="N230" i="1"/>
  <c r="N238" i="1"/>
  <c r="N246" i="1"/>
  <c r="N254" i="1"/>
  <c r="N262" i="1"/>
  <c r="N270" i="1"/>
  <c r="N278" i="1"/>
  <c r="N286" i="1"/>
  <c r="N294" i="1"/>
  <c r="N302" i="1"/>
  <c r="N310" i="1"/>
  <c r="N318" i="1"/>
  <c r="N326" i="1"/>
  <c r="N334" i="1"/>
  <c r="N342" i="1"/>
  <c r="N350" i="1"/>
  <c r="N358" i="1"/>
  <c r="N366" i="1"/>
  <c r="N374" i="1"/>
  <c r="N382" i="1"/>
  <c r="N390" i="1"/>
  <c r="N398" i="1"/>
  <c r="N406" i="1"/>
  <c r="N414" i="1"/>
  <c r="N422" i="1"/>
  <c r="N430" i="1"/>
  <c r="N438" i="1"/>
  <c r="N446" i="1"/>
  <c r="N454" i="1"/>
  <c r="N462" i="1"/>
  <c r="N470" i="1"/>
  <c r="N478" i="1"/>
  <c r="N486" i="1"/>
  <c r="N494" i="1"/>
  <c r="N502" i="1"/>
  <c r="N510" i="1"/>
  <c r="N518" i="1"/>
  <c r="N526" i="1"/>
  <c r="N534" i="1"/>
  <c r="N542" i="1"/>
  <c r="N550" i="1"/>
  <c r="N558" i="1"/>
  <c r="N566" i="1"/>
  <c r="N574" i="1"/>
  <c r="N582" i="1"/>
  <c r="N590" i="1"/>
  <c r="N598" i="1"/>
  <c r="N606" i="1"/>
  <c r="N614" i="1"/>
  <c r="N622" i="1"/>
  <c r="N630" i="1"/>
  <c r="N638" i="1"/>
  <c r="N646" i="1"/>
  <c r="N654" i="1"/>
  <c r="N662" i="1"/>
  <c r="N670" i="1"/>
  <c r="N678" i="1"/>
  <c r="N7" i="1"/>
  <c r="N15" i="1"/>
  <c r="N23" i="1"/>
  <c r="N31" i="1"/>
  <c r="N39" i="1"/>
  <c r="N47" i="1"/>
  <c r="N55" i="1"/>
  <c r="N63" i="1"/>
  <c r="N71" i="1"/>
  <c r="N79" i="1"/>
  <c r="N87" i="1"/>
  <c r="N95" i="1"/>
  <c r="N103" i="1"/>
  <c r="N111" i="1"/>
  <c r="N119" i="1"/>
  <c r="N127" i="1"/>
  <c r="N135" i="1"/>
  <c r="N143" i="1"/>
  <c r="N151" i="1"/>
  <c r="N159" i="1"/>
  <c r="N167" i="1"/>
  <c r="N175" i="1"/>
  <c r="N183" i="1"/>
  <c r="N191" i="1"/>
  <c r="N199" i="1"/>
  <c r="N207" i="1"/>
  <c r="N215" i="1"/>
  <c r="N223" i="1"/>
  <c r="N231" i="1"/>
  <c r="N239" i="1"/>
  <c r="N247" i="1"/>
  <c r="N255" i="1"/>
  <c r="N263" i="1"/>
  <c r="N271" i="1"/>
  <c r="N279" i="1"/>
  <c r="N287" i="1"/>
  <c r="N295" i="1"/>
  <c r="N303" i="1"/>
  <c r="N311" i="1"/>
  <c r="N319" i="1"/>
  <c r="N327" i="1"/>
  <c r="N335" i="1"/>
  <c r="N343" i="1"/>
  <c r="N351" i="1"/>
  <c r="N359" i="1"/>
  <c r="N367" i="1"/>
  <c r="N375" i="1"/>
  <c r="N383" i="1"/>
  <c r="N391" i="1"/>
  <c r="N399" i="1"/>
  <c r="N407" i="1"/>
  <c r="N415" i="1"/>
  <c r="N423" i="1"/>
  <c r="N431" i="1"/>
  <c r="N439" i="1"/>
  <c r="N447" i="1"/>
  <c r="N455" i="1"/>
  <c r="N463" i="1"/>
  <c r="N471" i="1"/>
  <c r="N479" i="1"/>
  <c r="N487" i="1"/>
  <c r="N495" i="1"/>
  <c r="N503" i="1"/>
  <c r="N511" i="1"/>
  <c r="N519" i="1"/>
  <c r="N527" i="1"/>
  <c r="N535" i="1"/>
  <c r="N543" i="1"/>
  <c r="N551" i="1"/>
  <c r="N559" i="1"/>
  <c r="N567" i="1"/>
  <c r="N575" i="1"/>
  <c r="N583" i="1"/>
  <c r="N591" i="1"/>
  <c r="N599" i="1"/>
  <c r="N607" i="1"/>
  <c r="N615" i="1"/>
  <c r="N623" i="1"/>
  <c r="N631" i="1"/>
  <c r="N639" i="1"/>
  <c r="N647" i="1"/>
  <c r="N655" i="1"/>
  <c r="N663" i="1"/>
  <c r="N671" i="1"/>
  <c r="N679" i="1"/>
  <c r="N8" i="1"/>
  <c r="N16" i="1"/>
  <c r="N24" i="1"/>
  <c r="N32" i="1"/>
  <c r="N40" i="1"/>
  <c r="N48" i="1"/>
  <c r="N56" i="1"/>
  <c r="N64" i="1"/>
  <c r="N72" i="1"/>
  <c r="N80" i="1"/>
  <c r="N88" i="1"/>
  <c r="N96" i="1"/>
  <c r="N104" i="1"/>
  <c r="N112" i="1"/>
  <c r="N120" i="1"/>
  <c r="N128" i="1"/>
  <c r="N136" i="1"/>
  <c r="N144" i="1"/>
  <c r="N152" i="1"/>
  <c r="N160" i="1"/>
  <c r="N168" i="1"/>
  <c r="N176" i="1"/>
  <c r="N184" i="1"/>
  <c r="N192" i="1"/>
  <c r="N200" i="1"/>
  <c r="N208" i="1"/>
  <c r="N216" i="1"/>
  <c r="N224" i="1"/>
  <c r="N232" i="1"/>
  <c r="N240" i="1"/>
  <c r="N248" i="1"/>
  <c r="N256" i="1"/>
  <c r="N264" i="1"/>
  <c r="N272" i="1"/>
  <c r="N280" i="1"/>
  <c r="N288" i="1"/>
  <c r="N296" i="1"/>
  <c r="N304" i="1"/>
  <c r="N312" i="1"/>
  <c r="N320" i="1"/>
  <c r="N328" i="1"/>
  <c r="N336" i="1"/>
  <c r="N344" i="1"/>
  <c r="N352" i="1"/>
  <c r="N360" i="1"/>
  <c r="N368" i="1"/>
  <c r="N376" i="1"/>
  <c r="N384" i="1"/>
  <c r="N392" i="1"/>
  <c r="N400" i="1"/>
  <c r="N408" i="1"/>
  <c r="N416" i="1"/>
  <c r="N424" i="1"/>
  <c r="N432" i="1"/>
  <c r="N440" i="1"/>
  <c r="N448" i="1"/>
  <c r="N456" i="1"/>
  <c r="N464" i="1"/>
  <c r="N472" i="1"/>
  <c r="N480" i="1"/>
  <c r="N488" i="1"/>
  <c r="N496" i="1"/>
  <c r="N504" i="1"/>
  <c r="N512" i="1"/>
  <c r="N520" i="1"/>
  <c r="N528" i="1"/>
  <c r="N536" i="1"/>
  <c r="N544" i="1"/>
  <c r="N552" i="1"/>
  <c r="N560" i="1"/>
  <c r="N568" i="1"/>
  <c r="N576" i="1"/>
  <c r="N584" i="1"/>
  <c r="N592" i="1"/>
  <c r="N600" i="1"/>
  <c r="N608" i="1"/>
  <c r="N616" i="1"/>
  <c r="N624" i="1"/>
  <c r="N632" i="1"/>
  <c r="N640" i="1"/>
  <c r="N648" i="1"/>
  <c r="N656" i="1"/>
  <c r="N664" i="1"/>
  <c r="N672" i="1"/>
  <c r="N680" i="1"/>
  <c r="N9" i="1"/>
  <c r="N17" i="1"/>
  <c r="N25" i="1"/>
  <c r="N33" i="1"/>
  <c r="N41" i="1"/>
  <c r="N49" i="1"/>
  <c r="N57" i="1"/>
  <c r="N65" i="1"/>
  <c r="N73" i="1"/>
  <c r="N81" i="1"/>
  <c r="N89" i="1"/>
  <c r="N97" i="1"/>
  <c r="N105" i="1"/>
  <c r="N113" i="1"/>
  <c r="N121" i="1"/>
  <c r="N129" i="1"/>
  <c r="N137" i="1"/>
  <c r="N145" i="1"/>
  <c r="N153" i="1"/>
  <c r="N161" i="1"/>
  <c r="N169" i="1"/>
  <c r="N177" i="1"/>
  <c r="N185" i="1"/>
  <c r="N193" i="1"/>
  <c r="N201" i="1"/>
  <c r="N209" i="1"/>
  <c r="N217" i="1"/>
  <c r="N225" i="1"/>
  <c r="N233" i="1"/>
  <c r="N241" i="1"/>
  <c r="N249" i="1"/>
  <c r="N257" i="1"/>
  <c r="N265" i="1"/>
  <c r="N273" i="1"/>
  <c r="N281" i="1"/>
  <c r="N289" i="1"/>
  <c r="N297" i="1"/>
  <c r="N305" i="1"/>
  <c r="N313" i="1"/>
  <c r="N321" i="1"/>
  <c r="N329" i="1"/>
  <c r="N337" i="1"/>
  <c r="N345" i="1"/>
  <c r="N353" i="1"/>
  <c r="N361" i="1"/>
  <c r="N369" i="1"/>
  <c r="N377" i="1"/>
  <c r="N385" i="1"/>
  <c r="N393" i="1"/>
  <c r="N401" i="1"/>
  <c r="N409" i="1"/>
  <c r="N417" i="1"/>
  <c r="N425" i="1"/>
  <c r="N433" i="1"/>
  <c r="N441" i="1"/>
  <c r="N449" i="1"/>
  <c r="N457" i="1"/>
  <c r="N465" i="1"/>
  <c r="N473" i="1"/>
  <c r="N481" i="1"/>
  <c r="N489" i="1"/>
  <c r="N497" i="1"/>
  <c r="N505" i="1"/>
  <c r="N513" i="1"/>
  <c r="N521" i="1"/>
  <c r="N529" i="1"/>
  <c r="N537" i="1"/>
  <c r="N545" i="1"/>
  <c r="N553" i="1"/>
  <c r="N561" i="1"/>
  <c r="N569" i="1"/>
  <c r="N577" i="1"/>
  <c r="N585" i="1"/>
  <c r="N593" i="1"/>
  <c r="N601" i="1"/>
  <c r="N609" i="1"/>
  <c r="N617" i="1"/>
  <c r="N625" i="1"/>
  <c r="N633" i="1"/>
  <c r="N641" i="1"/>
  <c r="N649" i="1"/>
  <c r="N657" i="1"/>
  <c r="N665" i="1"/>
  <c r="N673" i="1"/>
  <c r="N681" i="1"/>
  <c r="N10" i="1"/>
  <c r="N18" i="1"/>
  <c r="N26" i="1"/>
  <c r="N34" i="1"/>
  <c r="N42" i="1"/>
  <c r="N50" i="1"/>
  <c r="N58" i="1"/>
  <c r="N66" i="1"/>
  <c r="N74" i="1"/>
  <c r="N82" i="1"/>
  <c r="N90" i="1"/>
  <c r="N98" i="1"/>
  <c r="N106" i="1"/>
  <c r="N114" i="1"/>
  <c r="N122" i="1"/>
  <c r="N130" i="1"/>
  <c r="N138" i="1"/>
  <c r="N146" i="1"/>
  <c r="N154" i="1"/>
  <c r="N162" i="1"/>
  <c r="N170" i="1"/>
  <c r="N178" i="1"/>
  <c r="N186" i="1"/>
  <c r="N194" i="1"/>
  <c r="N202" i="1"/>
  <c r="N210" i="1"/>
  <c r="N218" i="1"/>
  <c r="N226" i="1"/>
  <c r="N234" i="1"/>
  <c r="N242" i="1"/>
  <c r="N250" i="1"/>
  <c r="N258" i="1"/>
  <c r="N266" i="1"/>
  <c r="N274" i="1"/>
  <c r="N282" i="1"/>
  <c r="N290" i="1"/>
  <c r="N298" i="1"/>
  <c r="N306" i="1"/>
  <c r="N314" i="1"/>
  <c r="N322" i="1"/>
  <c r="N330" i="1"/>
  <c r="N338" i="1"/>
  <c r="N346" i="1"/>
  <c r="N354" i="1"/>
  <c r="N362" i="1"/>
  <c r="N370" i="1"/>
  <c r="N378" i="1"/>
  <c r="N386" i="1"/>
  <c r="N394" i="1"/>
  <c r="N402" i="1"/>
  <c r="N410" i="1"/>
  <c r="N418" i="1"/>
  <c r="N426" i="1"/>
  <c r="N434" i="1"/>
  <c r="N442" i="1"/>
  <c r="N450" i="1"/>
  <c r="N458" i="1"/>
  <c r="N466" i="1"/>
  <c r="N474" i="1"/>
  <c r="N482" i="1"/>
  <c r="N490" i="1"/>
  <c r="N498" i="1"/>
  <c r="N506" i="1"/>
  <c r="N514" i="1"/>
  <c r="N522" i="1"/>
  <c r="N530" i="1"/>
  <c r="N538" i="1"/>
  <c r="N546" i="1"/>
  <c r="N554" i="1"/>
  <c r="N562" i="1"/>
  <c r="N570" i="1"/>
  <c r="N578" i="1"/>
  <c r="N586" i="1"/>
  <c r="N594" i="1"/>
  <c r="N602" i="1"/>
  <c r="N610" i="1"/>
  <c r="N618" i="1"/>
  <c r="N626" i="1"/>
  <c r="N634" i="1"/>
  <c r="N642" i="1"/>
  <c r="N650" i="1"/>
  <c r="N658" i="1"/>
  <c r="N666" i="1"/>
  <c r="N674" i="1"/>
  <c r="N682" i="1"/>
  <c r="N11" i="1"/>
  <c r="N19" i="1"/>
  <c r="N27" i="1"/>
  <c r="N35" i="1"/>
  <c r="N43" i="1"/>
  <c r="N51" i="1"/>
  <c r="N59" i="1"/>
  <c r="N67" i="1"/>
  <c r="N75" i="1"/>
  <c r="N83" i="1"/>
  <c r="N91" i="1"/>
  <c r="N99" i="1"/>
  <c r="N107" i="1"/>
  <c r="N115" i="1"/>
  <c r="N123" i="1"/>
  <c r="N131" i="1"/>
  <c r="N139" i="1"/>
  <c r="N147" i="1"/>
  <c r="N155" i="1"/>
  <c r="N163" i="1"/>
  <c r="N171" i="1"/>
  <c r="N179" i="1"/>
  <c r="N187" i="1"/>
  <c r="N195" i="1"/>
  <c r="N203" i="1"/>
  <c r="N211" i="1"/>
  <c r="N219" i="1"/>
  <c r="N227" i="1"/>
  <c r="N235" i="1"/>
  <c r="N243" i="1"/>
  <c r="N251" i="1"/>
  <c r="N259" i="1"/>
  <c r="N267" i="1"/>
  <c r="N275" i="1"/>
  <c r="N283" i="1"/>
  <c r="N291" i="1"/>
  <c r="N299" i="1"/>
  <c r="N307" i="1"/>
  <c r="N315" i="1"/>
  <c r="N323" i="1"/>
  <c r="N331" i="1"/>
  <c r="N339" i="1"/>
  <c r="N347" i="1"/>
  <c r="N355" i="1"/>
  <c r="N363" i="1"/>
  <c r="N371" i="1"/>
  <c r="N379" i="1"/>
  <c r="N387" i="1"/>
  <c r="N395" i="1"/>
  <c r="N403" i="1"/>
  <c r="N411" i="1"/>
  <c r="N419" i="1"/>
  <c r="N427" i="1"/>
  <c r="N435" i="1"/>
  <c r="N443" i="1"/>
  <c r="N451" i="1"/>
  <c r="N459" i="1"/>
  <c r="N467" i="1"/>
  <c r="N475" i="1"/>
  <c r="N483" i="1"/>
  <c r="N491" i="1"/>
  <c r="N499" i="1"/>
  <c r="N507" i="1"/>
  <c r="N515" i="1"/>
  <c r="N523" i="1"/>
  <c r="N531" i="1"/>
  <c r="N539" i="1"/>
  <c r="N547" i="1"/>
  <c r="N555" i="1"/>
  <c r="N563" i="1"/>
  <c r="N571" i="1"/>
  <c r="N579" i="1"/>
  <c r="N587" i="1"/>
  <c r="N595" i="1"/>
  <c r="N603" i="1"/>
  <c r="N611" i="1"/>
  <c r="N619" i="1"/>
  <c r="N627" i="1"/>
  <c r="N635" i="1"/>
  <c r="N643" i="1"/>
  <c r="N651" i="1"/>
  <c r="N659" i="1"/>
  <c r="N667" i="1"/>
  <c r="N675" i="1"/>
  <c r="N683" i="1"/>
  <c r="N36" i="1"/>
  <c r="N100" i="1"/>
  <c r="N164" i="1"/>
  <c r="N228" i="1"/>
  <c r="N292" i="1"/>
  <c r="N356" i="1"/>
  <c r="N420" i="1"/>
  <c r="N484" i="1"/>
  <c r="N548" i="1"/>
  <c r="N612" i="1"/>
  <c r="N676" i="1"/>
  <c r="N690" i="1"/>
  <c r="N698" i="1"/>
  <c r="N706" i="1"/>
  <c r="N714" i="1"/>
  <c r="N722" i="1"/>
  <c r="N730" i="1"/>
  <c r="N738" i="1"/>
  <c r="N746" i="1"/>
  <c r="N754" i="1"/>
  <c r="N762" i="1"/>
  <c r="N770" i="1"/>
  <c r="N778" i="1"/>
  <c r="N786" i="1"/>
  <c r="N794" i="1"/>
  <c r="N802" i="1"/>
  <c r="N810" i="1"/>
  <c r="N818" i="1"/>
  <c r="N826" i="1"/>
  <c r="N834" i="1"/>
  <c r="N842" i="1"/>
  <c r="N850" i="1"/>
  <c r="N858" i="1"/>
  <c r="N866" i="1"/>
  <c r="N874" i="1"/>
  <c r="N882" i="1"/>
  <c r="N890" i="1"/>
  <c r="N898" i="1"/>
  <c r="N906" i="1"/>
  <c r="N914" i="1"/>
  <c r="N922" i="1"/>
  <c r="N930" i="1"/>
  <c r="N938" i="1"/>
  <c r="N946" i="1"/>
  <c r="N954" i="1"/>
  <c r="N962" i="1"/>
  <c r="N970" i="1"/>
  <c r="N978" i="1"/>
  <c r="N986" i="1"/>
  <c r="N994" i="1"/>
  <c r="N1002" i="1"/>
  <c r="N44" i="1"/>
  <c r="N108" i="1"/>
  <c r="N172" i="1"/>
  <c r="N236" i="1"/>
  <c r="N300" i="1"/>
  <c r="N364" i="1"/>
  <c r="N428" i="1"/>
  <c r="N492" i="1"/>
  <c r="N556" i="1"/>
  <c r="N620" i="1"/>
  <c r="N677" i="1"/>
  <c r="N691" i="1"/>
  <c r="N699" i="1"/>
  <c r="N707" i="1"/>
  <c r="N715" i="1"/>
  <c r="N723" i="1"/>
  <c r="N731" i="1"/>
  <c r="N739" i="1"/>
  <c r="N747" i="1"/>
  <c r="N755" i="1"/>
  <c r="N763" i="1"/>
  <c r="N771" i="1"/>
  <c r="N779" i="1"/>
  <c r="N787" i="1"/>
  <c r="N795" i="1"/>
  <c r="N803" i="1"/>
  <c r="N811" i="1"/>
  <c r="N819" i="1"/>
  <c r="N827" i="1"/>
  <c r="N835" i="1"/>
  <c r="N843" i="1"/>
  <c r="N851" i="1"/>
  <c r="N859" i="1"/>
  <c r="N867" i="1"/>
  <c r="N52" i="1"/>
  <c r="N116" i="1"/>
  <c r="N180" i="1"/>
  <c r="N244" i="1"/>
  <c r="N308" i="1"/>
  <c r="N372" i="1"/>
  <c r="N436" i="1"/>
  <c r="N500" i="1"/>
  <c r="N564" i="1"/>
  <c r="N628" i="1"/>
  <c r="N684" i="1"/>
  <c r="N692" i="1"/>
  <c r="N700" i="1"/>
  <c r="N708" i="1"/>
  <c r="N716" i="1"/>
  <c r="N724" i="1"/>
  <c r="N732" i="1"/>
  <c r="N740" i="1"/>
  <c r="N748" i="1"/>
  <c r="N756" i="1"/>
  <c r="N764" i="1"/>
  <c r="N772" i="1"/>
  <c r="N780" i="1"/>
  <c r="N788" i="1"/>
  <c r="N796" i="1"/>
  <c r="N804" i="1"/>
  <c r="N812" i="1"/>
  <c r="N820" i="1"/>
  <c r="N828" i="1"/>
  <c r="N836" i="1"/>
  <c r="N844" i="1"/>
  <c r="N852" i="1"/>
  <c r="N860" i="1"/>
  <c r="N868" i="1"/>
  <c r="N876" i="1"/>
  <c r="N884" i="1"/>
  <c r="N892" i="1"/>
  <c r="N900" i="1"/>
  <c r="N908" i="1"/>
  <c r="N916" i="1"/>
  <c r="N924" i="1"/>
  <c r="N932" i="1"/>
  <c r="N940" i="1"/>
  <c r="N948" i="1"/>
  <c r="N956" i="1"/>
  <c r="N964" i="1"/>
  <c r="N972" i="1"/>
  <c r="N980" i="1"/>
  <c r="N988" i="1"/>
  <c r="N996" i="1"/>
  <c r="N1004" i="1"/>
  <c r="N60" i="1"/>
  <c r="N124" i="1"/>
  <c r="N188" i="1"/>
  <c r="N252" i="1"/>
  <c r="N316" i="1"/>
  <c r="N380" i="1"/>
  <c r="N444" i="1"/>
  <c r="N508" i="1"/>
  <c r="N572" i="1"/>
  <c r="N636" i="1"/>
  <c r="N685" i="1"/>
  <c r="N693" i="1"/>
  <c r="N701" i="1"/>
  <c r="N709" i="1"/>
  <c r="N717" i="1"/>
  <c r="N725" i="1"/>
  <c r="N733" i="1"/>
  <c r="N741" i="1"/>
  <c r="N749" i="1"/>
  <c r="N757" i="1"/>
  <c r="N765" i="1"/>
  <c r="N773" i="1"/>
  <c r="N781" i="1"/>
  <c r="N789" i="1"/>
  <c r="N797" i="1"/>
  <c r="N805" i="1"/>
  <c r="N813" i="1"/>
  <c r="N821" i="1"/>
  <c r="N829" i="1"/>
  <c r="N837" i="1"/>
  <c r="N845" i="1"/>
  <c r="N853" i="1"/>
  <c r="N861" i="1"/>
  <c r="N869" i="1"/>
  <c r="N877" i="1"/>
  <c r="N885" i="1"/>
  <c r="N893" i="1"/>
  <c r="N901" i="1"/>
  <c r="N909" i="1"/>
  <c r="N917" i="1"/>
  <c r="N925" i="1"/>
  <c r="N933" i="1"/>
  <c r="N941" i="1"/>
  <c r="N949" i="1"/>
  <c r="N957" i="1"/>
  <c r="N965" i="1"/>
  <c r="N973" i="1"/>
  <c r="N981" i="1"/>
  <c r="N989" i="1"/>
  <c r="N997" i="1"/>
  <c r="N1005" i="1"/>
  <c r="N12" i="1"/>
  <c r="N140" i="1"/>
  <c r="N268" i="1"/>
  <c r="N396" i="1"/>
  <c r="N524" i="1"/>
  <c r="N652" i="1"/>
  <c r="N695" i="1"/>
  <c r="N711" i="1"/>
  <c r="N727" i="1"/>
  <c r="N743" i="1"/>
  <c r="N759" i="1"/>
  <c r="N775" i="1"/>
  <c r="N791" i="1"/>
  <c r="N807" i="1"/>
  <c r="N823" i="1"/>
  <c r="N839" i="1"/>
  <c r="N855" i="1"/>
  <c r="N871" i="1"/>
  <c r="N883" i="1"/>
  <c r="N896" i="1"/>
  <c r="N910" i="1"/>
  <c r="N921" i="1"/>
  <c r="N935" i="1"/>
  <c r="N947" i="1"/>
  <c r="N960" i="1"/>
  <c r="N974" i="1"/>
  <c r="N985" i="1"/>
  <c r="N999" i="1"/>
  <c r="N20" i="1"/>
  <c r="N148" i="1"/>
  <c r="N276" i="1"/>
  <c r="N404" i="1"/>
  <c r="N532" i="1"/>
  <c r="N660" i="1"/>
  <c r="N696" i="1"/>
  <c r="N712" i="1"/>
  <c r="N728" i="1"/>
  <c r="N744" i="1"/>
  <c r="N760" i="1"/>
  <c r="N776" i="1"/>
  <c r="N792" i="1"/>
  <c r="N808" i="1"/>
  <c r="N824" i="1"/>
  <c r="N840" i="1"/>
  <c r="N856" i="1"/>
  <c r="N872" i="1"/>
  <c r="N886" i="1"/>
  <c r="N897" i="1"/>
  <c r="N911" i="1"/>
  <c r="N923" i="1"/>
  <c r="N936" i="1"/>
  <c r="N950" i="1"/>
  <c r="N961" i="1"/>
  <c r="N975" i="1"/>
  <c r="N987" i="1"/>
  <c r="N1000" i="1"/>
  <c r="N156" i="1"/>
  <c r="N668" i="1"/>
  <c r="N745" i="1"/>
  <c r="N809" i="1"/>
  <c r="N899" i="1"/>
  <c r="N976" i="1"/>
  <c r="N68" i="1"/>
  <c r="N196" i="1"/>
  <c r="N324" i="1"/>
  <c r="N452" i="1"/>
  <c r="N580" i="1"/>
  <c r="N686" i="1"/>
  <c r="N702" i="1"/>
  <c r="N718" i="1"/>
  <c r="N734" i="1"/>
  <c r="N750" i="1"/>
  <c r="N766" i="1"/>
  <c r="N782" i="1"/>
  <c r="N798" i="1"/>
  <c r="N814" i="1"/>
  <c r="N830" i="1"/>
  <c r="N846" i="1"/>
  <c r="N862" i="1"/>
  <c r="N875" i="1"/>
  <c r="N888" i="1"/>
  <c r="N902" i="1"/>
  <c r="N913" i="1"/>
  <c r="N927" i="1"/>
  <c r="N939" i="1"/>
  <c r="N952" i="1"/>
  <c r="N966" i="1"/>
  <c r="N977" i="1"/>
  <c r="N991" i="1"/>
  <c r="N1003" i="1"/>
  <c r="N76" i="1"/>
  <c r="N332" i="1"/>
  <c r="N460" i="1"/>
  <c r="N588" i="1"/>
  <c r="N687" i="1"/>
  <c r="N703" i="1"/>
  <c r="N719" i="1"/>
  <c r="N735" i="1"/>
  <c r="N767" i="1"/>
  <c r="N783" i="1"/>
  <c r="N799" i="1"/>
  <c r="N815" i="1"/>
  <c r="N831" i="1"/>
  <c r="N847" i="1"/>
  <c r="N863" i="1"/>
  <c r="N878" i="1"/>
  <c r="N903" i="1"/>
  <c r="N915" i="1"/>
  <c r="N928" i="1"/>
  <c r="N942" i="1"/>
  <c r="N953" i="1"/>
  <c r="N979" i="1"/>
  <c r="N992" i="1"/>
  <c r="N1006" i="1"/>
  <c r="N260" i="1"/>
  <c r="N516" i="1"/>
  <c r="N694" i="1"/>
  <c r="N742" i="1"/>
  <c r="N774" i="1"/>
  <c r="N806" i="1"/>
  <c r="N854" i="1"/>
  <c r="N907" i="1"/>
  <c r="N971" i="1"/>
  <c r="N412" i="1"/>
  <c r="N729" i="1"/>
  <c r="N777" i="1"/>
  <c r="N841" i="1"/>
  <c r="N912" i="1"/>
  <c r="N990" i="1"/>
  <c r="N204" i="1"/>
  <c r="N751" i="1"/>
  <c r="N889" i="1"/>
  <c r="N967" i="1"/>
  <c r="N710" i="1"/>
  <c r="N822" i="1"/>
  <c r="N895" i="1"/>
  <c r="N945" i="1"/>
  <c r="N998" i="1"/>
  <c r="N284" i="1"/>
  <c r="N697" i="1"/>
  <c r="N761" i="1"/>
  <c r="N825" i="1"/>
  <c r="N887" i="1"/>
  <c r="N951" i="1"/>
  <c r="N84" i="1"/>
  <c r="N212" i="1"/>
  <c r="N340" i="1"/>
  <c r="N468" i="1"/>
  <c r="N596" i="1"/>
  <c r="N688" i="1"/>
  <c r="N704" i="1"/>
  <c r="N720" i="1"/>
  <c r="N736" i="1"/>
  <c r="N752" i="1"/>
  <c r="N768" i="1"/>
  <c r="N784" i="1"/>
  <c r="N800" i="1"/>
  <c r="N816" i="1"/>
  <c r="N832" i="1"/>
  <c r="N848" i="1"/>
  <c r="N864" i="1"/>
  <c r="N879" i="1"/>
  <c r="N891" i="1"/>
  <c r="N904" i="1"/>
  <c r="N918" i="1"/>
  <c r="N929" i="1"/>
  <c r="N943" i="1"/>
  <c r="N955" i="1"/>
  <c r="N968" i="1"/>
  <c r="N982" i="1"/>
  <c r="N993" i="1"/>
  <c r="N758" i="1"/>
  <c r="N870" i="1"/>
  <c r="N934" i="1"/>
  <c r="N984" i="1"/>
  <c r="N28" i="1"/>
  <c r="N713" i="1"/>
  <c r="N793" i="1"/>
  <c r="N873" i="1"/>
  <c r="N926" i="1"/>
  <c r="N963" i="1"/>
  <c r="N92" i="1"/>
  <c r="N220" i="1"/>
  <c r="N348" i="1"/>
  <c r="N476" i="1"/>
  <c r="N604" i="1"/>
  <c r="N689" i="1"/>
  <c r="N705" i="1"/>
  <c r="N721" i="1"/>
  <c r="N737" i="1"/>
  <c r="N753" i="1"/>
  <c r="N769" i="1"/>
  <c r="N785" i="1"/>
  <c r="N801" i="1"/>
  <c r="N817" i="1"/>
  <c r="N833" i="1"/>
  <c r="N849" i="1"/>
  <c r="N865" i="1"/>
  <c r="N880" i="1"/>
  <c r="N894" i="1"/>
  <c r="N905" i="1"/>
  <c r="N919" i="1"/>
  <c r="N931" i="1"/>
  <c r="N944" i="1"/>
  <c r="N958" i="1"/>
  <c r="N969" i="1"/>
  <c r="N983" i="1"/>
  <c r="N995" i="1"/>
  <c r="N132" i="1"/>
  <c r="N388" i="1"/>
  <c r="N644" i="1"/>
  <c r="N726" i="1"/>
  <c r="N790" i="1"/>
  <c r="N838" i="1"/>
  <c r="N881" i="1"/>
  <c r="N920" i="1"/>
  <c r="N959" i="1"/>
  <c r="N540" i="1"/>
  <c r="N857" i="1"/>
  <c r="N937" i="1"/>
  <c r="N1001" i="1"/>
  <c r="P6" i="1"/>
  <c r="K14" i="1" s="1"/>
  <c r="P10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P226" i="1"/>
  <c r="P230" i="1"/>
  <c r="P234" i="1"/>
  <c r="P238" i="1"/>
  <c r="P242" i="1"/>
  <c r="P246" i="1"/>
  <c r="P250" i="1"/>
  <c r="P254" i="1"/>
  <c r="P258" i="1"/>
  <c r="P262" i="1"/>
  <c r="P266" i="1"/>
  <c r="P270" i="1"/>
  <c r="P274" i="1"/>
  <c r="P278" i="1"/>
  <c r="P282" i="1"/>
  <c r="P286" i="1"/>
  <c r="P290" i="1"/>
  <c r="P294" i="1"/>
  <c r="P298" i="1"/>
  <c r="P302" i="1"/>
  <c r="P306" i="1"/>
  <c r="P310" i="1"/>
  <c r="P314" i="1"/>
  <c r="P318" i="1"/>
  <c r="P322" i="1"/>
  <c r="P326" i="1"/>
  <c r="P330" i="1"/>
  <c r="P334" i="1"/>
  <c r="P338" i="1"/>
  <c r="P342" i="1"/>
  <c r="O7" i="1"/>
  <c r="O11" i="1"/>
  <c r="O15" i="1"/>
  <c r="O19" i="1"/>
  <c r="O23" i="1"/>
  <c r="O27" i="1"/>
  <c r="O31" i="1"/>
  <c r="O35" i="1"/>
  <c r="O39" i="1"/>
  <c r="O43" i="1"/>
  <c r="O47" i="1"/>
  <c r="O51" i="1"/>
  <c r="O55" i="1"/>
  <c r="O59" i="1"/>
  <c r="O63" i="1"/>
  <c r="O67" i="1"/>
  <c r="O71" i="1"/>
  <c r="O75" i="1"/>
  <c r="O79" i="1"/>
  <c r="O83" i="1"/>
  <c r="O87" i="1"/>
  <c r="O91" i="1"/>
  <c r="O95" i="1"/>
  <c r="O99" i="1"/>
  <c r="O103" i="1"/>
  <c r="O107" i="1"/>
  <c r="O111" i="1"/>
  <c r="O115" i="1"/>
  <c r="O119" i="1"/>
  <c r="O123" i="1"/>
  <c r="O127" i="1"/>
  <c r="O131" i="1"/>
  <c r="O135" i="1"/>
  <c r="O139" i="1"/>
  <c r="O143" i="1"/>
  <c r="O147" i="1"/>
  <c r="O151" i="1"/>
  <c r="O155" i="1"/>
  <c r="O159" i="1"/>
  <c r="O163" i="1"/>
  <c r="O167" i="1"/>
  <c r="O171" i="1"/>
  <c r="O175" i="1"/>
  <c r="O179" i="1"/>
  <c r="O183" i="1"/>
  <c r="O187" i="1"/>
  <c r="O191" i="1"/>
  <c r="O195" i="1"/>
  <c r="O199" i="1"/>
  <c r="O203" i="1"/>
  <c r="O207" i="1"/>
  <c r="O211" i="1"/>
  <c r="O215" i="1"/>
  <c r="O219" i="1"/>
  <c r="O223" i="1"/>
  <c r="O227" i="1"/>
  <c r="O231" i="1"/>
  <c r="O235" i="1"/>
  <c r="O239" i="1"/>
  <c r="O243" i="1"/>
  <c r="O247" i="1"/>
  <c r="O251" i="1"/>
  <c r="O255" i="1"/>
  <c r="O259" i="1"/>
  <c r="O263" i="1"/>
  <c r="O267" i="1"/>
  <c r="O271" i="1"/>
  <c r="O275" i="1"/>
  <c r="O279" i="1"/>
  <c r="O283" i="1"/>
  <c r="O287" i="1"/>
  <c r="O291" i="1"/>
  <c r="O295" i="1"/>
  <c r="O299" i="1"/>
  <c r="O303" i="1"/>
  <c r="O307" i="1"/>
  <c r="O311" i="1"/>
  <c r="O315" i="1"/>
  <c r="O319" i="1"/>
  <c r="O323" i="1"/>
  <c r="O327" i="1"/>
  <c r="O331" i="1"/>
  <c r="O335" i="1"/>
  <c r="O339" i="1"/>
  <c r="O343" i="1"/>
  <c r="O8" i="1"/>
  <c r="O12" i="1"/>
  <c r="O16" i="1"/>
  <c r="O20" i="1"/>
  <c r="O24" i="1"/>
  <c r="O28" i="1"/>
  <c r="O32" i="1"/>
  <c r="O36" i="1"/>
  <c r="O40" i="1"/>
  <c r="O44" i="1"/>
  <c r="O48" i="1"/>
  <c r="O52" i="1"/>
  <c r="O56" i="1"/>
  <c r="O60" i="1"/>
  <c r="O64" i="1"/>
  <c r="O68" i="1"/>
  <c r="O72" i="1"/>
  <c r="O76" i="1"/>
  <c r="O80" i="1"/>
  <c r="O84" i="1"/>
  <c r="O88" i="1"/>
  <c r="O92" i="1"/>
  <c r="O96" i="1"/>
  <c r="O100" i="1"/>
  <c r="O104" i="1"/>
  <c r="O108" i="1"/>
  <c r="O112" i="1"/>
  <c r="O116" i="1"/>
  <c r="O120" i="1"/>
  <c r="O124" i="1"/>
  <c r="O128" i="1"/>
  <c r="O132" i="1"/>
  <c r="O136" i="1"/>
  <c r="O140" i="1"/>
  <c r="O144" i="1"/>
  <c r="O148" i="1"/>
  <c r="O152" i="1"/>
  <c r="O156" i="1"/>
  <c r="O160" i="1"/>
  <c r="O164" i="1"/>
  <c r="O168" i="1"/>
  <c r="O172" i="1"/>
  <c r="O176" i="1"/>
  <c r="O180" i="1"/>
  <c r="O184" i="1"/>
  <c r="O188" i="1"/>
  <c r="O192" i="1"/>
  <c r="O196" i="1"/>
  <c r="O200" i="1"/>
  <c r="O204" i="1"/>
  <c r="O208" i="1"/>
  <c r="O212" i="1"/>
  <c r="O216" i="1"/>
  <c r="O220" i="1"/>
  <c r="O224" i="1"/>
  <c r="O228" i="1"/>
  <c r="O232" i="1"/>
  <c r="O236" i="1"/>
  <c r="O240" i="1"/>
  <c r="O244" i="1"/>
  <c r="O248" i="1"/>
  <c r="O252" i="1"/>
  <c r="O256" i="1"/>
  <c r="O260" i="1"/>
  <c r="O264" i="1"/>
  <c r="O268" i="1"/>
  <c r="O272" i="1"/>
  <c r="O276" i="1"/>
  <c r="O280" i="1"/>
  <c r="O284" i="1"/>
  <c r="O288" i="1"/>
  <c r="O292" i="1"/>
  <c r="O296" i="1"/>
  <c r="O300" i="1"/>
  <c r="O304" i="1"/>
  <c r="O308" i="1"/>
  <c r="O312" i="1"/>
  <c r="O316" i="1"/>
  <c r="O320" i="1"/>
  <c r="O324" i="1"/>
  <c r="O328" i="1"/>
  <c r="O332" i="1"/>
  <c r="O336" i="1"/>
  <c r="O340" i="1"/>
  <c r="O344" i="1"/>
  <c r="P7" i="1"/>
  <c r="P13" i="1"/>
  <c r="P20" i="1"/>
  <c r="O26" i="1"/>
  <c r="O33" i="1"/>
  <c r="P39" i="1"/>
  <c r="P45" i="1"/>
  <c r="P52" i="1"/>
  <c r="O58" i="1"/>
  <c r="O65" i="1"/>
  <c r="P71" i="1"/>
  <c r="P77" i="1"/>
  <c r="P84" i="1"/>
  <c r="O90" i="1"/>
  <c r="O97" i="1"/>
  <c r="P103" i="1"/>
  <c r="P109" i="1"/>
  <c r="P116" i="1"/>
  <c r="O122" i="1"/>
  <c r="O129" i="1"/>
  <c r="P135" i="1"/>
  <c r="P141" i="1"/>
  <c r="P148" i="1"/>
  <c r="O154" i="1"/>
  <c r="O161" i="1"/>
  <c r="P167" i="1"/>
  <c r="P173" i="1"/>
  <c r="P180" i="1"/>
  <c r="O186" i="1"/>
  <c r="O193" i="1"/>
  <c r="P199" i="1"/>
  <c r="P205" i="1"/>
  <c r="P212" i="1"/>
  <c r="O218" i="1"/>
  <c r="O225" i="1"/>
  <c r="P231" i="1"/>
  <c r="P237" i="1"/>
  <c r="P244" i="1"/>
  <c r="O250" i="1"/>
  <c r="O257" i="1"/>
  <c r="P263" i="1"/>
  <c r="P269" i="1"/>
  <c r="P276" i="1"/>
  <c r="O282" i="1"/>
  <c r="O289" i="1"/>
  <c r="P295" i="1"/>
  <c r="P301" i="1"/>
  <c r="P308" i="1"/>
  <c r="O314" i="1"/>
  <c r="O321" i="1"/>
  <c r="P327" i="1"/>
  <c r="P333" i="1"/>
  <c r="P340" i="1"/>
  <c r="O346" i="1"/>
  <c r="O350" i="1"/>
  <c r="O354" i="1"/>
  <c r="O358" i="1"/>
  <c r="O362" i="1"/>
  <c r="O366" i="1"/>
  <c r="O370" i="1"/>
  <c r="O374" i="1"/>
  <c r="O378" i="1"/>
  <c r="O382" i="1"/>
  <c r="O386" i="1"/>
  <c r="O390" i="1"/>
  <c r="O394" i="1"/>
  <c r="O398" i="1"/>
  <c r="O402" i="1"/>
  <c r="O406" i="1"/>
  <c r="O410" i="1"/>
  <c r="O414" i="1"/>
  <c r="O418" i="1"/>
  <c r="O422" i="1"/>
  <c r="O426" i="1"/>
  <c r="O430" i="1"/>
  <c r="O434" i="1"/>
  <c r="O438" i="1"/>
  <c r="O442" i="1"/>
  <c r="O446" i="1"/>
  <c r="O450" i="1"/>
  <c r="O454" i="1"/>
  <c r="O458" i="1"/>
  <c r="O462" i="1"/>
  <c r="O466" i="1"/>
  <c r="O470" i="1"/>
  <c r="O474" i="1"/>
  <c r="O478" i="1"/>
  <c r="O482" i="1"/>
  <c r="O486" i="1"/>
  <c r="O490" i="1"/>
  <c r="O494" i="1"/>
  <c r="O498" i="1"/>
  <c r="O502" i="1"/>
  <c r="O506" i="1"/>
  <c r="O510" i="1"/>
  <c r="O514" i="1"/>
  <c r="O518" i="1"/>
  <c r="P8" i="1"/>
  <c r="O14" i="1"/>
  <c r="O21" i="1"/>
  <c r="P27" i="1"/>
  <c r="P33" i="1"/>
  <c r="P40" i="1"/>
  <c r="O46" i="1"/>
  <c r="O53" i="1"/>
  <c r="P59" i="1"/>
  <c r="P65" i="1"/>
  <c r="P72" i="1"/>
  <c r="O78" i="1"/>
  <c r="O85" i="1"/>
  <c r="P91" i="1"/>
  <c r="P97" i="1"/>
  <c r="P104" i="1"/>
  <c r="O110" i="1"/>
  <c r="O117" i="1"/>
  <c r="P123" i="1"/>
  <c r="P129" i="1"/>
  <c r="P136" i="1"/>
  <c r="O142" i="1"/>
  <c r="O149" i="1"/>
  <c r="P155" i="1"/>
  <c r="P161" i="1"/>
  <c r="P168" i="1"/>
  <c r="O174" i="1"/>
  <c r="O181" i="1"/>
  <c r="P187" i="1"/>
  <c r="P193" i="1"/>
  <c r="P200" i="1"/>
  <c r="O206" i="1"/>
  <c r="O213" i="1"/>
  <c r="P219" i="1"/>
  <c r="P225" i="1"/>
  <c r="P232" i="1"/>
  <c r="O238" i="1"/>
  <c r="O245" i="1"/>
  <c r="P251" i="1"/>
  <c r="P257" i="1"/>
  <c r="P264" i="1"/>
  <c r="O270" i="1"/>
  <c r="O277" i="1"/>
  <c r="P283" i="1"/>
  <c r="P289" i="1"/>
  <c r="P296" i="1"/>
  <c r="O302" i="1"/>
  <c r="O309" i="1"/>
  <c r="P315" i="1"/>
  <c r="P321" i="1"/>
  <c r="P328" i="1"/>
  <c r="O334" i="1"/>
  <c r="O341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9" i="1"/>
  <c r="P16" i="1"/>
  <c r="O22" i="1"/>
  <c r="O29" i="1"/>
  <c r="P35" i="1"/>
  <c r="P41" i="1"/>
  <c r="P48" i="1"/>
  <c r="O54" i="1"/>
  <c r="O61" i="1"/>
  <c r="P67" i="1"/>
  <c r="P73" i="1"/>
  <c r="P80" i="1"/>
  <c r="O86" i="1"/>
  <c r="O93" i="1"/>
  <c r="P99" i="1"/>
  <c r="P105" i="1"/>
  <c r="P112" i="1"/>
  <c r="O118" i="1"/>
  <c r="O125" i="1"/>
  <c r="P131" i="1"/>
  <c r="P137" i="1"/>
  <c r="P144" i="1"/>
  <c r="O150" i="1"/>
  <c r="O157" i="1"/>
  <c r="P163" i="1"/>
  <c r="P169" i="1"/>
  <c r="P176" i="1"/>
  <c r="O182" i="1"/>
  <c r="O189" i="1"/>
  <c r="P195" i="1"/>
  <c r="P201" i="1"/>
  <c r="P208" i="1"/>
  <c r="O214" i="1"/>
  <c r="O221" i="1"/>
  <c r="P227" i="1"/>
  <c r="P233" i="1"/>
  <c r="P240" i="1"/>
  <c r="O246" i="1"/>
  <c r="O253" i="1"/>
  <c r="P259" i="1"/>
  <c r="P265" i="1"/>
  <c r="P272" i="1"/>
  <c r="O278" i="1"/>
  <c r="O285" i="1"/>
  <c r="P291" i="1"/>
  <c r="P297" i="1"/>
  <c r="P304" i="1"/>
  <c r="O310" i="1"/>
  <c r="O317" i="1"/>
  <c r="P323" i="1"/>
  <c r="P329" i="1"/>
  <c r="P336" i="1"/>
  <c r="O342" i="1"/>
  <c r="P347" i="1"/>
  <c r="P351" i="1"/>
  <c r="P355" i="1"/>
  <c r="P359" i="1"/>
  <c r="P363" i="1"/>
  <c r="P367" i="1"/>
  <c r="P371" i="1"/>
  <c r="P375" i="1"/>
  <c r="P379" i="1"/>
  <c r="P383" i="1"/>
  <c r="P387" i="1"/>
  <c r="P391" i="1"/>
  <c r="P395" i="1"/>
  <c r="P399" i="1"/>
  <c r="P403" i="1"/>
  <c r="P407" i="1"/>
  <c r="P411" i="1"/>
  <c r="P415" i="1"/>
  <c r="P419" i="1"/>
  <c r="P423" i="1"/>
  <c r="P427" i="1"/>
  <c r="P431" i="1"/>
  <c r="P435" i="1"/>
  <c r="P439" i="1"/>
  <c r="P443" i="1"/>
  <c r="P447" i="1"/>
  <c r="P451" i="1"/>
  <c r="P455" i="1"/>
  <c r="P459" i="1"/>
  <c r="P463" i="1"/>
  <c r="P467" i="1"/>
  <c r="P471" i="1"/>
  <c r="O9" i="1"/>
  <c r="O18" i="1"/>
  <c r="P29" i="1"/>
  <c r="O38" i="1"/>
  <c r="P49" i="1"/>
  <c r="P60" i="1"/>
  <c r="P69" i="1"/>
  <c r="O81" i="1"/>
  <c r="P89" i="1"/>
  <c r="O101" i="1"/>
  <c r="P111" i="1"/>
  <c r="O121" i="1"/>
  <c r="P132" i="1"/>
  <c r="O141" i="1"/>
  <c r="P152" i="1"/>
  <c r="O162" i="1"/>
  <c r="P172" i="1"/>
  <c r="P183" i="1"/>
  <c r="P192" i="1"/>
  <c r="P203" i="1"/>
  <c r="P213" i="1"/>
  <c r="P223" i="1"/>
  <c r="O234" i="1"/>
  <c r="P243" i="1"/>
  <c r="O254" i="1"/>
  <c r="O265" i="1"/>
  <c r="O274" i="1"/>
  <c r="P285" i="1"/>
  <c r="O294" i="1"/>
  <c r="P305" i="1"/>
  <c r="P316" i="1"/>
  <c r="P325" i="1"/>
  <c r="O337" i="1"/>
  <c r="P345" i="1"/>
  <c r="P352" i="1"/>
  <c r="O359" i="1"/>
  <c r="O365" i="1"/>
  <c r="O372" i="1"/>
  <c r="P377" i="1"/>
  <c r="P384" i="1"/>
  <c r="O391" i="1"/>
  <c r="O397" i="1"/>
  <c r="O404" i="1"/>
  <c r="P409" i="1"/>
  <c r="P416" i="1"/>
  <c r="O423" i="1"/>
  <c r="O429" i="1"/>
  <c r="O436" i="1"/>
  <c r="O441" i="1"/>
  <c r="P446" i="1"/>
  <c r="O452" i="1"/>
  <c r="O457" i="1"/>
  <c r="P462" i="1"/>
  <c r="O468" i="1"/>
  <c r="O473" i="1"/>
  <c r="P477" i="1"/>
  <c r="P482" i="1"/>
  <c r="O487" i="1"/>
  <c r="P491" i="1"/>
  <c r="O496" i="1"/>
  <c r="P500" i="1"/>
  <c r="O505" i="1"/>
  <c r="P509" i="1"/>
  <c r="P514" i="1"/>
  <c r="O519" i="1"/>
  <c r="O523" i="1"/>
  <c r="O527" i="1"/>
  <c r="O531" i="1"/>
  <c r="O535" i="1"/>
  <c r="O539" i="1"/>
  <c r="O543" i="1"/>
  <c r="O547" i="1"/>
  <c r="O551" i="1"/>
  <c r="O555" i="1"/>
  <c r="O559" i="1"/>
  <c r="O563" i="1"/>
  <c r="O567" i="1"/>
  <c r="O571" i="1"/>
  <c r="O575" i="1"/>
  <c r="O579" i="1"/>
  <c r="O583" i="1"/>
  <c r="O587" i="1"/>
  <c r="O591" i="1"/>
  <c r="O595" i="1"/>
  <c r="O599" i="1"/>
  <c r="O603" i="1"/>
  <c r="O607" i="1"/>
  <c r="O611" i="1"/>
  <c r="O615" i="1"/>
  <c r="O619" i="1"/>
  <c r="O623" i="1"/>
  <c r="O627" i="1"/>
  <c r="O631" i="1"/>
  <c r="O635" i="1"/>
  <c r="O639" i="1"/>
  <c r="O643" i="1"/>
  <c r="O647" i="1"/>
  <c r="O651" i="1"/>
  <c r="O655" i="1"/>
  <c r="O659" i="1"/>
  <c r="O663" i="1"/>
  <c r="O667" i="1"/>
  <c r="O671" i="1"/>
  <c r="O675" i="1"/>
  <c r="O679" i="1"/>
  <c r="O683" i="1"/>
  <c r="O687" i="1"/>
  <c r="O691" i="1"/>
  <c r="O695" i="1"/>
  <c r="O699" i="1"/>
  <c r="O703" i="1"/>
  <c r="O707" i="1"/>
  <c r="O711" i="1"/>
  <c r="O715" i="1"/>
  <c r="O719" i="1"/>
  <c r="O723" i="1"/>
  <c r="O727" i="1"/>
  <c r="O731" i="1"/>
  <c r="O735" i="1"/>
  <c r="O739" i="1"/>
  <c r="O743" i="1"/>
  <c r="O747" i="1"/>
  <c r="O751" i="1"/>
  <c r="O755" i="1"/>
  <c r="O759" i="1"/>
  <c r="O763" i="1"/>
  <c r="O767" i="1"/>
  <c r="O771" i="1"/>
  <c r="O775" i="1"/>
  <c r="O779" i="1"/>
  <c r="O783" i="1"/>
  <c r="O787" i="1"/>
  <c r="O791" i="1"/>
  <c r="O795" i="1"/>
  <c r="O799" i="1"/>
  <c r="O803" i="1"/>
  <c r="O807" i="1"/>
  <c r="O811" i="1"/>
  <c r="O815" i="1"/>
  <c r="O819" i="1"/>
  <c r="O823" i="1"/>
  <c r="O827" i="1"/>
  <c r="O831" i="1"/>
  <c r="O835" i="1"/>
  <c r="O839" i="1"/>
  <c r="O843" i="1"/>
  <c r="O847" i="1"/>
  <c r="O851" i="1"/>
  <c r="O855" i="1"/>
  <c r="O859" i="1"/>
  <c r="O863" i="1"/>
  <c r="O867" i="1"/>
  <c r="O871" i="1"/>
  <c r="O875" i="1"/>
  <c r="O879" i="1"/>
  <c r="O883" i="1"/>
  <c r="O887" i="1"/>
  <c r="O891" i="1"/>
  <c r="O895" i="1"/>
  <c r="O899" i="1"/>
  <c r="O903" i="1"/>
  <c r="O907" i="1"/>
  <c r="O911" i="1"/>
  <c r="O915" i="1"/>
  <c r="O919" i="1"/>
  <c r="O923" i="1"/>
  <c r="O927" i="1"/>
  <c r="O931" i="1"/>
  <c r="O935" i="1"/>
  <c r="O939" i="1"/>
  <c r="O10" i="1"/>
  <c r="P19" i="1"/>
  <c r="O30" i="1"/>
  <c r="O41" i="1"/>
  <c r="O50" i="1"/>
  <c r="P61" i="1"/>
  <c r="O70" i="1"/>
  <c r="P81" i="1"/>
  <c r="P92" i="1"/>
  <c r="P101" i="1"/>
  <c r="O113" i="1"/>
  <c r="P121" i="1"/>
  <c r="O133" i="1"/>
  <c r="P143" i="1"/>
  <c r="O153" i="1"/>
  <c r="P164" i="1"/>
  <c r="O173" i="1"/>
  <c r="P184" i="1"/>
  <c r="O194" i="1"/>
  <c r="P204" i="1"/>
  <c r="P215" i="1"/>
  <c r="P224" i="1"/>
  <c r="P235" i="1"/>
  <c r="P245" i="1"/>
  <c r="P255" i="1"/>
  <c r="O266" i="1"/>
  <c r="P275" i="1"/>
  <c r="O286" i="1"/>
  <c r="O297" i="1"/>
  <c r="O306" i="1"/>
  <c r="P317" i="1"/>
  <c r="O326" i="1"/>
  <c r="P337" i="1"/>
  <c r="O347" i="1"/>
  <c r="O353" i="1"/>
  <c r="O360" i="1"/>
  <c r="P365" i="1"/>
  <c r="P372" i="1"/>
  <c r="O379" i="1"/>
  <c r="O385" i="1"/>
  <c r="O392" i="1"/>
  <c r="P397" i="1"/>
  <c r="P404" i="1"/>
  <c r="O411" i="1"/>
  <c r="O417" i="1"/>
  <c r="O424" i="1"/>
  <c r="P429" i="1"/>
  <c r="P436" i="1"/>
  <c r="P441" i="1"/>
  <c r="O447" i="1"/>
  <c r="P452" i="1"/>
  <c r="P457" i="1"/>
  <c r="O463" i="1"/>
  <c r="P468" i="1"/>
  <c r="P473" i="1"/>
  <c r="P478" i="1"/>
  <c r="O483" i="1"/>
  <c r="P487" i="1"/>
  <c r="O492" i="1"/>
  <c r="P496" i="1"/>
  <c r="O501" i="1"/>
  <c r="P505" i="1"/>
  <c r="P510" i="1"/>
  <c r="O515" i="1"/>
  <c r="P519" i="1"/>
  <c r="P523" i="1"/>
  <c r="P527" i="1"/>
  <c r="P531" i="1"/>
  <c r="P535" i="1"/>
  <c r="P539" i="1"/>
  <c r="P543" i="1"/>
  <c r="P547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723" i="1"/>
  <c r="P727" i="1"/>
  <c r="P731" i="1"/>
  <c r="P735" i="1"/>
  <c r="P739" i="1"/>
  <c r="P743" i="1"/>
  <c r="P747" i="1"/>
  <c r="P751" i="1"/>
  <c r="P755" i="1"/>
  <c r="P759" i="1"/>
  <c r="P763" i="1"/>
  <c r="P767" i="1"/>
  <c r="P771" i="1"/>
  <c r="P775" i="1"/>
  <c r="P779" i="1"/>
  <c r="P783" i="1"/>
  <c r="P787" i="1"/>
  <c r="P791" i="1"/>
  <c r="P795" i="1"/>
  <c r="P799" i="1"/>
  <c r="P803" i="1"/>
  <c r="P807" i="1"/>
  <c r="P811" i="1"/>
  <c r="P815" i="1"/>
  <c r="P819" i="1"/>
  <c r="P823" i="1"/>
  <c r="P827" i="1"/>
  <c r="P831" i="1"/>
  <c r="P835" i="1"/>
  <c r="P839" i="1"/>
  <c r="P843" i="1"/>
  <c r="P847" i="1"/>
  <c r="P851" i="1"/>
  <c r="P855" i="1"/>
  <c r="P859" i="1"/>
  <c r="P863" i="1"/>
  <c r="P867" i="1"/>
  <c r="P871" i="1"/>
  <c r="P875" i="1"/>
  <c r="P879" i="1"/>
  <c r="P883" i="1"/>
  <c r="P887" i="1"/>
  <c r="P891" i="1"/>
  <c r="P895" i="1"/>
  <c r="P899" i="1"/>
  <c r="P903" i="1"/>
  <c r="P907" i="1"/>
  <c r="P911" i="1"/>
  <c r="P915" i="1"/>
  <c r="P919" i="1"/>
  <c r="P923" i="1"/>
  <c r="P927" i="1"/>
  <c r="P931" i="1"/>
  <c r="P935" i="1"/>
  <c r="P939" i="1"/>
  <c r="P12" i="1"/>
  <c r="P23" i="1"/>
  <c r="P32" i="1"/>
  <c r="P43" i="1"/>
  <c r="P53" i="1"/>
  <c r="P63" i="1"/>
  <c r="O74" i="1"/>
  <c r="P83" i="1"/>
  <c r="O94" i="1"/>
  <c r="O105" i="1"/>
  <c r="O114" i="1"/>
  <c r="P125" i="1"/>
  <c r="O134" i="1"/>
  <c r="P145" i="1"/>
  <c r="P156" i="1"/>
  <c r="P165" i="1"/>
  <c r="O177" i="1"/>
  <c r="P185" i="1"/>
  <c r="O197" i="1"/>
  <c r="P207" i="1"/>
  <c r="O217" i="1"/>
  <c r="P228" i="1"/>
  <c r="O237" i="1"/>
  <c r="P248" i="1"/>
  <c r="O258" i="1"/>
  <c r="P268" i="1"/>
  <c r="P279" i="1"/>
  <c r="P288" i="1"/>
  <c r="P299" i="1"/>
  <c r="P309" i="1"/>
  <c r="P319" i="1"/>
  <c r="O330" i="1"/>
  <c r="P339" i="1"/>
  <c r="P348" i="1"/>
  <c r="O355" i="1"/>
  <c r="O361" i="1"/>
  <c r="O368" i="1"/>
  <c r="P373" i="1"/>
  <c r="P380" i="1"/>
  <c r="O387" i="1"/>
  <c r="O393" i="1"/>
  <c r="O400" i="1"/>
  <c r="P405" i="1"/>
  <c r="P412" i="1"/>
  <c r="O419" i="1"/>
  <c r="O425" i="1"/>
  <c r="O432" i="1"/>
  <c r="P437" i="1"/>
  <c r="O443" i="1"/>
  <c r="P448" i="1"/>
  <c r="P453" i="1"/>
  <c r="O459" i="1"/>
  <c r="P464" i="1"/>
  <c r="P469" i="1"/>
  <c r="O475" i="1"/>
  <c r="P479" i="1"/>
  <c r="O484" i="1"/>
  <c r="P488" i="1"/>
  <c r="O493" i="1"/>
  <c r="P497" i="1"/>
  <c r="P502" i="1"/>
  <c r="O507" i="1"/>
  <c r="P511" i="1"/>
  <c r="O516" i="1"/>
  <c r="P520" i="1"/>
  <c r="P524" i="1"/>
  <c r="P528" i="1"/>
  <c r="P532" i="1"/>
  <c r="P536" i="1"/>
  <c r="P540" i="1"/>
  <c r="P544" i="1"/>
  <c r="P548" i="1"/>
  <c r="P552" i="1"/>
  <c r="P556" i="1"/>
  <c r="P560" i="1"/>
  <c r="P564" i="1"/>
  <c r="P568" i="1"/>
  <c r="P572" i="1"/>
  <c r="P576" i="1"/>
  <c r="P580" i="1"/>
  <c r="P584" i="1"/>
  <c r="P588" i="1"/>
  <c r="P592" i="1"/>
  <c r="P596" i="1"/>
  <c r="P600" i="1"/>
  <c r="P604" i="1"/>
  <c r="P608" i="1"/>
  <c r="P612" i="1"/>
  <c r="P616" i="1"/>
  <c r="P620" i="1"/>
  <c r="P624" i="1"/>
  <c r="P628" i="1"/>
  <c r="P632" i="1"/>
  <c r="P636" i="1"/>
  <c r="P640" i="1"/>
  <c r="P644" i="1"/>
  <c r="P648" i="1"/>
  <c r="P652" i="1"/>
  <c r="P656" i="1"/>
  <c r="P660" i="1"/>
  <c r="P664" i="1"/>
  <c r="P668" i="1"/>
  <c r="P672" i="1"/>
  <c r="P676" i="1"/>
  <c r="P680" i="1"/>
  <c r="P684" i="1"/>
  <c r="P688" i="1"/>
  <c r="P692" i="1"/>
  <c r="P696" i="1"/>
  <c r="P700" i="1"/>
  <c r="P704" i="1"/>
  <c r="P708" i="1"/>
  <c r="P712" i="1"/>
  <c r="P716" i="1"/>
  <c r="P720" i="1"/>
  <c r="P724" i="1"/>
  <c r="P728" i="1"/>
  <c r="P732" i="1"/>
  <c r="P736" i="1"/>
  <c r="P740" i="1"/>
  <c r="P744" i="1"/>
  <c r="P748" i="1"/>
  <c r="P752" i="1"/>
  <c r="P756" i="1"/>
  <c r="P760" i="1"/>
  <c r="P764" i="1"/>
  <c r="P768" i="1"/>
  <c r="P772" i="1"/>
  <c r="P776" i="1"/>
  <c r="P780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11" i="1"/>
  <c r="P25" i="1"/>
  <c r="P44" i="1"/>
  <c r="P57" i="1"/>
  <c r="P76" i="1"/>
  <c r="P93" i="1"/>
  <c r="P108" i="1"/>
  <c r="O126" i="1"/>
  <c r="P140" i="1"/>
  <c r="O158" i="1"/>
  <c r="P175" i="1"/>
  <c r="O190" i="1"/>
  <c r="O209" i="1"/>
  <c r="O222" i="1"/>
  <c r="O241" i="1"/>
  <c r="P256" i="1"/>
  <c r="O273" i="1"/>
  <c r="O290" i="1"/>
  <c r="O305" i="1"/>
  <c r="O322" i="1"/>
  <c r="O338" i="1"/>
  <c r="O351" i="1"/>
  <c r="P361" i="1"/>
  <c r="O371" i="1"/>
  <c r="P381" i="1"/>
  <c r="P392" i="1"/>
  <c r="P401" i="1"/>
  <c r="O413" i="1"/>
  <c r="P421" i="1"/>
  <c r="O433" i="1"/>
  <c r="P442" i="1"/>
  <c r="P450" i="1"/>
  <c r="O460" i="1"/>
  <c r="O467" i="1"/>
  <c r="O476" i="1"/>
  <c r="P483" i="1"/>
  <c r="P490" i="1"/>
  <c r="P498" i="1"/>
  <c r="P504" i="1"/>
  <c r="P512" i="1"/>
  <c r="O520" i="1"/>
  <c r="O526" i="1"/>
  <c r="O533" i="1"/>
  <c r="P538" i="1"/>
  <c r="P545" i="1"/>
  <c r="O552" i="1"/>
  <c r="O558" i="1"/>
  <c r="O565" i="1"/>
  <c r="P570" i="1"/>
  <c r="P577" i="1"/>
  <c r="O584" i="1"/>
  <c r="O590" i="1"/>
  <c r="O597" i="1"/>
  <c r="P602" i="1"/>
  <c r="P609" i="1"/>
  <c r="O616" i="1"/>
  <c r="O622" i="1"/>
  <c r="O629" i="1"/>
  <c r="P634" i="1"/>
  <c r="P641" i="1"/>
  <c r="O648" i="1"/>
  <c r="O654" i="1"/>
  <c r="O661" i="1"/>
  <c r="P666" i="1"/>
  <c r="P673" i="1"/>
  <c r="O680" i="1"/>
  <c r="O686" i="1"/>
  <c r="O693" i="1"/>
  <c r="P698" i="1"/>
  <c r="P705" i="1"/>
  <c r="O712" i="1"/>
  <c r="O718" i="1"/>
  <c r="O725" i="1"/>
  <c r="P730" i="1"/>
  <c r="P737" i="1"/>
  <c r="O744" i="1"/>
  <c r="O750" i="1"/>
  <c r="O757" i="1"/>
  <c r="P762" i="1"/>
  <c r="P769" i="1"/>
  <c r="O776" i="1"/>
  <c r="O782" i="1"/>
  <c r="O789" i="1"/>
  <c r="P794" i="1"/>
  <c r="P801" i="1"/>
  <c r="O808" i="1"/>
  <c r="O814" i="1"/>
  <c r="O821" i="1"/>
  <c r="P826" i="1"/>
  <c r="P833" i="1"/>
  <c r="O840" i="1"/>
  <c r="O846" i="1"/>
  <c r="O853" i="1"/>
  <c r="P858" i="1"/>
  <c r="P865" i="1"/>
  <c r="O872" i="1"/>
  <c r="O878" i="1"/>
  <c r="O885" i="1"/>
  <c r="P890" i="1"/>
  <c r="P897" i="1"/>
  <c r="O904" i="1"/>
  <c r="O910" i="1"/>
  <c r="O917" i="1"/>
  <c r="P922" i="1"/>
  <c r="P929" i="1"/>
  <c r="O936" i="1"/>
  <c r="O942" i="1"/>
  <c r="O946" i="1"/>
  <c r="O950" i="1"/>
  <c r="O954" i="1"/>
  <c r="O958" i="1"/>
  <c r="O962" i="1"/>
  <c r="O966" i="1"/>
  <c r="O970" i="1"/>
  <c r="O974" i="1"/>
  <c r="O978" i="1"/>
  <c r="O982" i="1"/>
  <c r="O986" i="1"/>
  <c r="O990" i="1"/>
  <c r="O994" i="1"/>
  <c r="O998" i="1"/>
  <c r="O1002" i="1"/>
  <c r="O1006" i="1"/>
  <c r="O1010" i="1"/>
  <c r="O1014" i="1"/>
  <c r="O1018" i="1"/>
  <c r="O1022" i="1"/>
  <c r="P1022" i="1"/>
  <c r="P15" i="1"/>
  <c r="P47" i="1"/>
  <c r="P64" i="1"/>
  <c r="P79" i="1"/>
  <c r="P96" i="1"/>
  <c r="P113" i="1"/>
  <c r="P128" i="1"/>
  <c r="O146" i="1"/>
  <c r="P160" i="1"/>
  <c r="O178" i="1"/>
  <c r="P196" i="1"/>
  <c r="O210" i="1"/>
  <c r="O229" i="1"/>
  <c r="O242" i="1"/>
  <c r="O261" i="1"/>
  <c r="P277" i="1"/>
  <c r="O293" i="1"/>
  <c r="P311" i="1"/>
  <c r="O325" i="1"/>
  <c r="P343" i="1"/>
  <c r="P353" i="1"/>
  <c r="O364" i="1"/>
  <c r="O375" i="1"/>
  <c r="O384" i="1"/>
  <c r="O395" i="1"/>
  <c r="O405" i="1"/>
  <c r="O415" i="1"/>
  <c r="P425" i="1"/>
  <c r="O435" i="1"/>
  <c r="P444" i="1"/>
  <c r="O453" i="1"/>
  <c r="O461" i="1"/>
  <c r="P470" i="1"/>
  <c r="O477" i="1"/>
  <c r="O485" i="1"/>
  <c r="P492" i="1"/>
  <c r="P499" i="1"/>
  <c r="P507" i="1"/>
  <c r="P513" i="1"/>
  <c r="P521" i="1"/>
  <c r="O528" i="1"/>
  <c r="O534" i="1"/>
  <c r="O541" i="1"/>
  <c r="P546" i="1"/>
  <c r="P553" i="1"/>
  <c r="O13" i="1"/>
  <c r="P28" i="1"/>
  <c r="O45" i="1"/>
  <c r="O62" i="1"/>
  <c r="O77" i="1"/>
  <c r="P95" i="1"/>
  <c r="O109" i="1"/>
  <c r="P127" i="1"/>
  <c r="O145" i="1"/>
  <c r="P159" i="1"/>
  <c r="P177" i="1"/>
  <c r="P191" i="1"/>
  <c r="P209" i="1"/>
  <c r="O226" i="1"/>
  <c r="P241" i="1"/>
  <c r="P260" i="1"/>
  <c r="P273" i="1"/>
  <c r="P292" i="1"/>
  <c r="P307" i="1"/>
  <c r="P324" i="1"/>
  <c r="P341" i="1"/>
  <c r="O352" i="1"/>
  <c r="O363" i="1"/>
  <c r="O373" i="1"/>
  <c r="O383" i="1"/>
  <c r="P393" i="1"/>
  <c r="O403" i="1"/>
  <c r="P413" i="1"/>
  <c r="P424" i="1"/>
  <c r="P433" i="1"/>
  <c r="O444" i="1"/>
  <c r="O451" i="1"/>
  <c r="P460" i="1"/>
  <c r="O469" i="1"/>
  <c r="P476" i="1"/>
  <c r="P484" i="1"/>
  <c r="O491" i="1"/>
  <c r="O499" i="1"/>
  <c r="P506" i="1"/>
  <c r="O513" i="1"/>
  <c r="O521" i="1"/>
  <c r="P526" i="1"/>
  <c r="P533" i="1"/>
  <c r="O540" i="1"/>
  <c r="O546" i="1"/>
  <c r="O553" i="1"/>
  <c r="P558" i="1"/>
  <c r="P565" i="1"/>
  <c r="O572" i="1"/>
  <c r="O578" i="1"/>
  <c r="O585" i="1"/>
  <c r="P590" i="1"/>
  <c r="P597" i="1"/>
  <c r="O604" i="1"/>
  <c r="O610" i="1"/>
  <c r="O617" i="1"/>
  <c r="P622" i="1"/>
  <c r="P629" i="1"/>
  <c r="O636" i="1"/>
  <c r="O642" i="1"/>
  <c r="O649" i="1"/>
  <c r="P654" i="1"/>
  <c r="P661" i="1"/>
  <c r="O668" i="1"/>
  <c r="O674" i="1"/>
  <c r="O681" i="1"/>
  <c r="P686" i="1"/>
  <c r="P693" i="1"/>
  <c r="O700" i="1"/>
  <c r="O706" i="1"/>
  <c r="O713" i="1"/>
  <c r="P718" i="1"/>
  <c r="P725" i="1"/>
  <c r="O732" i="1"/>
  <c r="O738" i="1"/>
  <c r="O745" i="1"/>
  <c r="P750" i="1"/>
  <c r="P757" i="1"/>
  <c r="O764" i="1"/>
  <c r="O770" i="1"/>
  <c r="O777" i="1"/>
  <c r="P782" i="1"/>
  <c r="P789" i="1"/>
  <c r="O796" i="1"/>
  <c r="O802" i="1"/>
  <c r="O809" i="1"/>
  <c r="P814" i="1"/>
  <c r="P821" i="1"/>
  <c r="O828" i="1"/>
  <c r="O834" i="1"/>
  <c r="O841" i="1"/>
  <c r="P846" i="1"/>
  <c r="P853" i="1"/>
  <c r="O860" i="1"/>
  <c r="O866" i="1"/>
  <c r="O873" i="1"/>
  <c r="P878" i="1"/>
  <c r="P885" i="1"/>
  <c r="O892" i="1"/>
  <c r="O898" i="1"/>
  <c r="O905" i="1"/>
  <c r="P910" i="1"/>
  <c r="P917" i="1"/>
  <c r="O924" i="1"/>
  <c r="O930" i="1"/>
  <c r="O937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O17" i="1"/>
  <c r="O34" i="1"/>
  <c r="O49" i="1"/>
  <c r="O66" i="1"/>
  <c r="O82" i="1"/>
  <c r="O98" i="1"/>
  <c r="P115" i="1"/>
  <c r="O130" i="1"/>
  <c r="P147" i="1"/>
  <c r="O165" i="1"/>
  <c r="P179" i="1"/>
  <c r="P197" i="1"/>
  <c r="P211" i="1"/>
  <c r="P229" i="1"/>
  <c r="P247" i="1"/>
  <c r="P261" i="1"/>
  <c r="P280" i="1"/>
  <c r="P293" i="1"/>
  <c r="P312" i="1"/>
  <c r="O329" i="1"/>
  <c r="P344" i="1"/>
  <c r="O356" i="1"/>
  <c r="P364" i="1"/>
  <c r="O376" i="1"/>
  <c r="P385" i="1"/>
  <c r="O396" i="1"/>
  <c r="O407" i="1"/>
  <c r="O416" i="1"/>
  <c r="O427" i="1"/>
  <c r="O437" i="1"/>
  <c r="O445" i="1"/>
  <c r="P454" i="1"/>
  <c r="P461" i="1"/>
  <c r="O471" i="1"/>
  <c r="O479" i="1"/>
  <c r="P485" i="1"/>
  <c r="P493" i="1"/>
  <c r="O500" i="1"/>
  <c r="O508" i="1"/>
  <c r="P515" i="1"/>
  <c r="O522" i="1"/>
  <c r="O529" i="1"/>
  <c r="P534" i="1"/>
  <c r="P541" i="1"/>
  <c r="O548" i="1"/>
  <c r="O554" i="1"/>
  <c r="O561" i="1"/>
  <c r="P566" i="1"/>
  <c r="P573" i="1"/>
  <c r="O580" i="1"/>
  <c r="O586" i="1"/>
  <c r="O593" i="1"/>
  <c r="P598" i="1"/>
  <c r="P605" i="1"/>
  <c r="O612" i="1"/>
  <c r="O618" i="1"/>
  <c r="O625" i="1"/>
  <c r="P630" i="1"/>
  <c r="P637" i="1"/>
  <c r="O644" i="1"/>
  <c r="O650" i="1"/>
  <c r="O657" i="1"/>
  <c r="P662" i="1"/>
  <c r="P669" i="1"/>
  <c r="O676" i="1"/>
  <c r="O682" i="1"/>
  <c r="O689" i="1"/>
  <c r="P694" i="1"/>
  <c r="P701" i="1"/>
  <c r="O708" i="1"/>
  <c r="O714" i="1"/>
  <c r="O721" i="1"/>
  <c r="P726" i="1"/>
  <c r="P733" i="1"/>
  <c r="O740" i="1"/>
  <c r="O746" i="1"/>
  <c r="O753" i="1"/>
  <c r="P758" i="1"/>
  <c r="P765" i="1"/>
  <c r="O772" i="1"/>
  <c r="O778" i="1"/>
  <c r="O785" i="1"/>
  <c r="P790" i="1"/>
  <c r="P797" i="1"/>
  <c r="O804" i="1"/>
  <c r="O810" i="1"/>
  <c r="O817" i="1"/>
  <c r="P822" i="1"/>
  <c r="P829" i="1"/>
  <c r="O836" i="1"/>
  <c r="O842" i="1"/>
  <c r="O849" i="1"/>
  <c r="P854" i="1"/>
  <c r="P861" i="1"/>
  <c r="O868" i="1"/>
  <c r="O874" i="1"/>
  <c r="O881" i="1"/>
  <c r="P886" i="1"/>
  <c r="P893" i="1"/>
  <c r="O900" i="1"/>
  <c r="O906" i="1"/>
  <c r="O913" i="1"/>
  <c r="P918" i="1"/>
  <c r="P925" i="1"/>
  <c r="O932" i="1"/>
  <c r="O938" i="1"/>
  <c r="P943" i="1"/>
  <c r="P947" i="1"/>
  <c r="P951" i="1"/>
  <c r="P955" i="1"/>
  <c r="P959" i="1"/>
  <c r="P963" i="1"/>
  <c r="P967" i="1"/>
  <c r="P971" i="1"/>
  <c r="P975" i="1"/>
  <c r="P979" i="1"/>
  <c r="P983" i="1"/>
  <c r="P987" i="1"/>
  <c r="P991" i="1"/>
  <c r="P995" i="1"/>
  <c r="P999" i="1"/>
  <c r="P1003" i="1"/>
  <c r="P1007" i="1"/>
  <c r="P1011" i="1"/>
  <c r="P1015" i="1"/>
  <c r="P1019" i="1"/>
  <c r="P17" i="1"/>
  <c r="P36" i="1"/>
  <c r="P51" i="1"/>
  <c r="P68" i="1"/>
  <c r="P85" i="1"/>
  <c r="P100" i="1"/>
  <c r="P117" i="1"/>
  <c r="P133" i="1"/>
  <c r="P149" i="1"/>
  <c r="O166" i="1"/>
  <c r="P181" i="1"/>
  <c r="O198" i="1"/>
  <c r="P216" i="1"/>
  <c r="O230" i="1"/>
  <c r="O249" i="1"/>
  <c r="O262" i="1"/>
  <c r="O281" i="1"/>
  <c r="O298" i="1"/>
  <c r="O313" i="1"/>
  <c r="P331" i="1"/>
  <c r="O345" i="1"/>
  <c r="P356" i="1"/>
  <c r="O367" i="1"/>
  <c r="P376" i="1"/>
  <c r="O388" i="1"/>
  <c r="P396" i="1"/>
  <c r="O408" i="1"/>
  <c r="P417" i="1"/>
  <c r="O428" i="1"/>
  <c r="P438" i="1"/>
  <c r="P445" i="1"/>
  <c r="O455" i="1"/>
  <c r="O464" i="1"/>
  <c r="O472" i="1"/>
  <c r="O480" i="1"/>
  <c r="P486" i="1"/>
  <c r="P494" i="1"/>
  <c r="P501" i="1"/>
  <c r="P508" i="1"/>
  <c r="P516" i="1"/>
  <c r="P522" i="1"/>
  <c r="P529" i="1"/>
  <c r="O536" i="1"/>
  <c r="O542" i="1"/>
  <c r="P37" i="1"/>
  <c r="P87" i="1"/>
  <c r="P124" i="1"/>
  <c r="O170" i="1"/>
  <c r="P217" i="1"/>
  <c r="P253" i="1"/>
  <c r="O301" i="1"/>
  <c r="O348" i="1"/>
  <c r="P369" i="1"/>
  <c r="P400" i="1"/>
  <c r="P428" i="1"/>
  <c r="P449" i="1"/>
  <c r="P474" i="1"/>
  <c r="O495" i="1"/>
  <c r="O512" i="1"/>
  <c r="P530" i="1"/>
  <c r="O549" i="1"/>
  <c r="O560" i="1"/>
  <c r="P569" i="1"/>
  <c r="O581" i="1"/>
  <c r="P589" i="1"/>
  <c r="O601" i="1"/>
  <c r="P610" i="1"/>
  <c r="O621" i="1"/>
  <c r="O632" i="1"/>
  <c r="O641" i="1"/>
  <c r="O652" i="1"/>
  <c r="O662" i="1"/>
  <c r="O672" i="1"/>
  <c r="P682" i="1"/>
  <c r="O692" i="1"/>
  <c r="P702" i="1"/>
  <c r="P713" i="1"/>
  <c r="P722" i="1"/>
  <c r="O734" i="1"/>
  <c r="P742" i="1"/>
  <c r="O754" i="1"/>
  <c r="O765" i="1"/>
  <c r="O774" i="1"/>
  <c r="P785" i="1"/>
  <c r="O794" i="1"/>
  <c r="P805" i="1"/>
  <c r="O816" i="1"/>
  <c r="P825" i="1"/>
  <c r="O877" i="1"/>
  <c r="O908" i="1"/>
  <c r="O965" i="1"/>
  <c r="O137" i="1"/>
  <c r="O431" i="1"/>
  <c r="O517" i="1"/>
  <c r="P561" i="1"/>
  <c r="O592" i="1"/>
  <c r="P621" i="1"/>
  <c r="O664" i="1"/>
  <c r="P714" i="1"/>
  <c r="O766" i="1"/>
  <c r="O806" i="1"/>
  <c r="P857" i="1"/>
  <c r="P898" i="1"/>
  <c r="O909" i="1"/>
  <c r="O947" i="1"/>
  <c r="P965" i="1"/>
  <c r="O992" i="1"/>
  <c r="O1017" i="1"/>
  <c r="O6" i="1"/>
  <c r="P55" i="1"/>
  <c r="O89" i="1"/>
  <c r="O138" i="1"/>
  <c r="O185" i="1"/>
  <c r="P221" i="1"/>
  <c r="O269" i="1"/>
  <c r="P313" i="1"/>
  <c r="P349" i="1"/>
  <c r="O380" i="1"/>
  <c r="P408" i="1"/>
  <c r="P432" i="1"/>
  <c r="P456" i="1"/>
  <c r="P480" i="1"/>
  <c r="O497" i="1"/>
  <c r="P517" i="1"/>
  <c r="O537" i="1"/>
  <c r="O550" i="1"/>
  <c r="O562" i="1"/>
  <c r="O573" i="1"/>
  <c r="O582" i="1"/>
  <c r="P593" i="1"/>
  <c r="O602" i="1"/>
  <c r="P613" i="1"/>
  <c r="O624" i="1"/>
  <c r="P633" i="1"/>
  <c r="O645" i="1"/>
  <c r="P653" i="1"/>
  <c r="O665" i="1"/>
  <c r="P674" i="1"/>
  <c r="O685" i="1"/>
  <c r="O696" i="1"/>
  <c r="O705" i="1"/>
  <c r="O716" i="1"/>
  <c r="O726" i="1"/>
  <c r="O736" i="1"/>
  <c r="P746" i="1"/>
  <c r="O756" i="1"/>
  <c r="P766" i="1"/>
  <c r="P777" i="1"/>
  <c r="P786" i="1"/>
  <c r="O798" i="1"/>
  <c r="P806" i="1"/>
  <c r="O818" i="1"/>
  <c r="O829" i="1"/>
  <c r="O838" i="1"/>
  <c r="P849" i="1"/>
  <c r="O858" i="1"/>
  <c r="P869" i="1"/>
  <c r="O880" i="1"/>
  <c r="P889" i="1"/>
  <c r="O901" i="1"/>
  <c r="P909" i="1"/>
  <c r="O921" i="1"/>
  <c r="P930" i="1"/>
  <c r="O941" i="1"/>
  <c r="O948" i="1"/>
  <c r="P953" i="1"/>
  <c r="P960" i="1"/>
  <c r="O967" i="1"/>
  <c r="O973" i="1"/>
  <c r="O980" i="1"/>
  <c r="P985" i="1"/>
  <c r="P992" i="1"/>
  <c r="O999" i="1"/>
  <c r="O1005" i="1"/>
  <c r="O1012" i="1"/>
  <c r="P1017" i="1"/>
  <c r="O781" i="1"/>
  <c r="P902" i="1"/>
  <c r="P949" i="1"/>
  <c r="O969" i="1"/>
  <c r="P988" i="1"/>
  <c r="O1008" i="1"/>
  <c r="O1003" i="1"/>
  <c r="O837" i="1"/>
  <c r="O928" i="1"/>
  <c r="O972" i="1"/>
  <c r="O1004" i="1"/>
  <c r="O42" i="1"/>
  <c r="O694" i="1"/>
  <c r="P837" i="1"/>
  <c r="O979" i="1"/>
  <c r="P21" i="1"/>
  <c r="P56" i="1"/>
  <c r="O102" i="1"/>
  <c r="P139" i="1"/>
  <c r="P188" i="1"/>
  <c r="O233" i="1"/>
  <c r="P271" i="1"/>
  <c r="O318" i="1"/>
  <c r="O357" i="1"/>
  <c r="O381" i="1"/>
  <c r="O409" i="1"/>
  <c r="O439" i="1"/>
  <c r="P458" i="1"/>
  <c r="O481" i="1"/>
  <c r="O503" i="1"/>
  <c r="P518" i="1"/>
  <c r="P537" i="1"/>
  <c r="P550" i="1"/>
  <c r="P562" i="1"/>
  <c r="O574" i="1"/>
  <c r="P582" i="1"/>
  <c r="O594" i="1"/>
  <c r="O605" i="1"/>
  <c r="O614" i="1"/>
  <c r="P625" i="1"/>
  <c r="O634" i="1"/>
  <c r="P645" i="1"/>
  <c r="O656" i="1"/>
  <c r="P665" i="1"/>
  <c r="O677" i="1"/>
  <c r="P685" i="1"/>
  <c r="O697" i="1"/>
  <c r="P706" i="1"/>
  <c r="O717" i="1"/>
  <c r="O728" i="1"/>
  <c r="O737" i="1"/>
  <c r="O748" i="1"/>
  <c r="O758" i="1"/>
  <c r="O768" i="1"/>
  <c r="P778" i="1"/>
  <c r="O788" i="1"/>
  <c r="P798" i="1"/>
  <c r="P809" i="1"/>
  <c r="P818" i="1"/>
  <c r="O830" i="1"/>
  <c r="P838" i="1"/>
  <c r="O850" i="1"/>
  <c r="O861" i="1"/>
  <c r="O870" i="1"/>
  <c r="P881" i="1"/>
  <c r="O890" i="1"/>
  <c r="P901" i="1"/>
  <c r="O912" i="1"/>
  <c r="P921" i="1"/>
  <c r="O933" i="1"/>
  <c r="P941" i="1"/>
  <c r="P948" i="1"/>
  <c r="O955" i="1"/>
  <c r="O961" i="1"/>
  <c r="O968" i="1"/>
  <c r="P973" i="1"/>
  <c r="P980" i="1"/>
  <c r="O987" i="1"/>
  <c r="O993" i="1"/>
  <c r="O1000" i="1"/>
  <c r="P1005" i="1"/>
  <c r="P1012" i="1"/>
  <c r="O1019" i="1"/>
  <c r="O981" i="1"/>
  <c r="P993" i="1"/>
  <c r="P1000" i="1"/>
  <c r="O1013" i="1"/>
  <c r="P153" i="1"/>
  <c r="P465" i="1"/>
  <c r="O504" i="1"/>
  <c r="O556" i="1"/>
  <c r="O566" i="1"/>
  <c r="O576" i="1"/>
  <c r="O596" i="1"/>
  <c r="P626" i="1"/>
  <c r="P646" i="1"/>
  <c r="O669" i="1"/>
  <c r="P689" i="1"/>
  <c r="P709" i="1"/>
  <c r="P729" i="1"/>
  <c r="P770" i="1"/>
  <c r="O801" i="1"/>
  <c r="O822" i="1"/>
  <c r="P842" i="1"/>
  <c r="P862" i="1"/>
  <c r="O894" i="1"/>
  <c r="O925" i="1"/>
  <c r="O934" i="1"/>
  <c r="P956" i="1"/>
  <c r="O976" i="1"/>
  <c r="O995" i="1"/>
  <c r="P1013" i="1"/>
  <c r="P957" i="1"/>
  <c r="O977" i="1"/>
  <c r="P989" i="1"/>
  <c r="O1016" i="1"/>
  <c r="P845" i="1"/>
  <c r="O897" i="1"/>
  <c r="P945" i="1"/>
  <c r="O991" i="1"/>
  <c r="P171" i="1"/>
  <c r="P220" i="1"/>
  <c r="P267" i="1"/>
  <c r="P303" i="1"/>
  <c r="O349" i="1"/>
  <c r="O377" i="1"/>
  <c r="O401" i="1"/>
  <c r="P475" i="1"/>
  <c r="P495" i="1"/>
  <c r="O532" i="1"/>
  <c r="O570" i="1"/>
  <c r="P601" i="1"/>
  <c r="O633" i="1"/>
  <c r="O673" i="1"/>
  <c r="O704" i="1"/>
  <c r="P734" i="1"/>
  <c r="P745" i="1"/>
  <c r="P774" i="1"/>
  <c r="O797" i="1"/>
  <c r="P817" i="1"/>
  <c r="O848" i="1"/>
  <c r="O889" i="1"/>
  <c r="O920" i="1"/>
  <c r="O953" i="1"/>
  <c r="O985" i="1"/>
  <c r="O1011" i="1"/>
  <c r="P24" i="1"/>
  <c r="O57" i="1"/>
  <c r="O106" i="1"/>
  <c r="P151" i="1"/>
  <c r="P189" i="1"/>
  <c r="P236" i="1"/>
  <c r="P281" i="1"/>
  <c r="P320" i="1"/>
  <c r="P357" i="1"/>
  <c r="P388" i="1"/>
  <c r="O412" i="1"/>
  <c r="O440" i="1"/>
  <c r="O465" i="1"/>
  <c r="P481" i="1"/>
  <c r="P503" i="1"/>
  <c r="O524" i="1"/>
  <c r="O538" i="1"/>
  <c r="P554" i="1"/>
  <c r="O564" i="1"/>
  <c r="P574" i="1"/>
  <c r="P585" i="1"/>
  <c r="P594" i="1"/>
  <c r="O606" i="1"/>
  <c r="P614" i="1"/>
  <c r="O626" i="1"/>
  <c r="O637" i="1"/>
  <c r="O646" i="1"/>
  <c r="P657" i="1"/>
  <c r="O666" i="1"/>
  <c r="P677" i="1"/>
  <c r="O688" i="1"/>
  <c r="P697" i="1"/>
  <c r="O709" i="1"/>
  <c r="P717" i="1"/>
  <c r="O729" i="1"/>
  <c r="P738" i="1"/>
  <c r="O749" i="1"/>
  <c r="O760" i="1"/>
  <c r="O769" i="1"/>
  <c r="O780" i="1"/>
  <c r="O790" i="1"/>
  <c r="O800" i="1"/>
  <c r="P810" i="1"/>
  <c r="O820" i="1"/>
  <c r="P830" i="1"/>
  <c r="P841" i="1"/>
  <c r="P850" i="1"/>
  <c r="O862" i="1"/>
  <c r="P870" i="1"/>
  <c r="O882" i="1"/>
  <c r="O893" i="1"/>
  <c r="O902" i="1"/>
  <c r="P913" i="1"/>
  <c r="O922" i="1"/>
  <c r="P933" i="1"/>
  <c r="O943" i="1"/>
  <c r="O949" i="1"/>
  <c r="O956" i="1"/>
  <c r="P961" i="1"/>
  <c r="P968" i="1"/>
  <c r="O975" i="1"/>
  <c r="O988" i="1"/>
  <c r="O1007" i="1"/>
  <c r="O1020" i="1"/>
  <c r="O69" i="1"/>
  <c r="O525" i="1"/>
  <c r="P586" i="1"/>
  <c r="P617" i="1"/>
  <c r="O638" i="1"/>
  <c r="O658" i="1"/>
  <c r="O678" i="1"/>
  <c r="O698" i="1"/>
  <c r="O720" i="1"/>
  <c r="O741" i="1"/>
  <c r="O761" i="1"/>
  <c r="O792" i="1"/>
  <c r="O812" i="1"/>
  <c r="O832" i="1"/>
  <c r="O852" i="1"/>
  <c r="P882" i="1"/>
  <c r="O914" i="1"/>
  <c r="O944" i="1"/>
  <c r="O963" i="1"/>
  <c r="P981" i="1"/>
  <c r="O1001" i="1"/>
  <c r="O952" i="1"/>
  <c r="O984" i="1"/>
  <c r="O1009" i="1"/>
  <c r="O857" i="1"/>
  <c r="P938" i="1"/>
  <c r="P984" i="1"/>
  <c r="P1016" i="1"/>
  <c r="P88" i="1"/>
  <c r="O456" i="1"/>
  <c r="P549" i="1"/>
  <c r="P581" i="1"/>
  <c r="O613" i="1"/>
  <c r="O653" i="1"/>
  <c r="O684" i="1"/>
  <c r="O724" i="1"/>
  <c r="P754" i="1"/>
  <c r="O786" i="1"/>
  <c r="O826" i="1"/>
  <c r="P877" i="1"/>
  <c r="O929" i="1"/>
  <c r="O960" i="1"/>
  <c r="P997" i="1"/>
  <c r="O25" i="1"/>
  <c r="P107" i="1"/>
  <c r="O201" i="1"/>
  <c r="P239" i="1"/>
  <c r="P284" i="1"/>
  <c r="P332" i="1"/>
  <c r="P360" i="1"/>
  <c r="O389" i="1"/>
  <c r="O420" i="1"/>
  <c r="P440" i="1"/>
  <c r="O488" i="1"/>
  <c r="P542" i="1"/>
  <c r="P606" i="1"/>
  <c r="P749" i="1"/>
  <c r="P873" i="1"/>
  <c r="P1020" i="1"/>
  <c r="O888" i="1"/>
  <c r="O959" i="1"/>
  <c r="O997" i="1"/>
  <c r="P642" i="1"/>
  <c r="O869" i="1"/>
  <c r="O940" i="1"/>
  <c r="P972" i="1"/>
  <c r="P1004" i="1"/>
  <c r="P31" i="1"/>
  <c r="O73" i="1"/>
  <c r="P119" i="1"/>
  <c r="P157" i="1"/>
  <c r="O202" i="1"/>
  <c r="P249" i="1"/>
  <c r="P287" i="1"/>
  <c r="O333" i="1"/>
  <c r="P368" i="1"/>
  <c r="P389" i="1"/>
  <c r="P420" i="1"/>
  <c r="O448" i="1"/>
  <c r="P466" i="1"/>
  <c r="O489" i="1"/>
  <c r="O509" i="1"/>
  <c r="P525" i="1"/>
  <c r="O544" i="1"/>
  <c r="O557" i="1"/>
  <c r="O568" i="1"/>
  <c r="O577" i="1"/>
  <c r="O588" i="1"/>
  <c r="O598" i="1"/>
  <c r="O608" i="1"/>
  <c r="P618" i="1"/>
  <c r="O628" i="1"/>
  <c r="P638" i="1"/>
  <c r="P649" i="1"/>
  <c r="P658" i="1"/>
  <c r="O670" i="1"/>
  <c r="P678" i="1"/>
  <c r="O690" i="1"/>
  <c r="O701" i="1"/>
  <c r="O710" i="1"/>
  <c r="P721" i="1"/>
  <c r="O730" i="1"/>
  <c r="P741" i="1"/>
  <c r="O752" i="1"/>
  <c r="P761" i="1"/>
  <c r="O773" i="1"/>
  <c r="P781" i="1"/>
  <c r="O793" i="1"/>
  <c r="P802" i="1"/>
  <c r="O813" i="1"/>
  <c r="O824" i="1"/>
  <c r="O833" i="1"/>
  <c r="O844" i="1"/>
  <c r="O854" i="1"/>
  <c r="O864" i="1"/>
  <c r="P874" i="1"/>
  <c r="O884" i="1"/>
  <c r="P894" i="1"/>
  <c r="P905" i="1"/>
  <c r="P914" i="1"/>
  <c r="O926" i="1"/>
  <c r="P934" i="1"/>
  <c r="P944" i="1"/>
  <c r="O951" i="1"/>
  <c r="O957" i="1"/>
  <c r="O964" i="1"/>
  <c r="P969" i="1"/>
  <c r="P976" i="1"/>
  <c r="O983" i="1"/>
  <c r="O989" i="1"/>
  <c r="O996" i="1"/>
  <c r="P1001" i="1"/>
  <c r="P1008" i="1"/>
  <c r="O1015" i="1"/>
  <c r="O1021" i="1"/>
  <c r="O37" i="1"/>
  <c r="P75" i="1"/>
  <c r="P120" i="1"/>
  <c r="O169" i="1"/>
  <c r="O205" i="1"/>
  <c r="P252" i="1"/>
  <c r="P300" i="1"/>
  <c r="P335" i="1"/>
  <c r="O369" i="1"/>
  <c r="O399" i="1"/>
  <c r="O421" i="1"/>
  <c r="O449" i="1"/>
  <c r="P472" i="1"/>
  <c r="P489" i="1"/>
  <c r="O511" i="1"/>
  <c r="O530" i="1"/>
  <c r="O545" i="1"/>
  <c r="P557" i="1"/>
  <c r="O569" i="1"/>
  <c r="P578" i="1"/>
  <c r="O589" i="1"/>
  <c r="O600" i="1"/>
  <c r="O609" i="1"/>
  <c r="O620" i="1"/>
  <c r="O630" i="1"/>
  <c r="O640" i="1"/>
  <c r="P650" i="1"/>
  <c r="O660" i="1"/>
  <c r="P670" i="1"/>
  <c r="P681" i="1"/>
  <c r="P690" i="1"/>
  <c r="O702" i="1"/>
  <c r="P710" i="1"/>
  <c r="O722" i="1"/>
  <c r="O733" i="1"/>
  <c r="O742" i="1"/>
  <c r="P753" i="1"/>
  <c r="O762" i="1"/>
  <c r="P773" i="1"/>
  <c r="O784" i="1"/>
  <c r="P793" i="1"/>
  <c r="O805" i="1"/>
  <c r="P813" i="1"/>
  <c r="O825" i="1"/>
  <c r="P834" i="1"/>
  <c r="O845" i="1"/>
  <c r="O856" i="1"/>
  <c r="O865" i="1"/>
  <c r="O876" i="1"/>
  <c r="O886" i="1"/>
  <c r="O896" i="1"/>
  <c r="P906" i="1"/>
  <c r="O916" i="1"/>
  <c r="P926" i="1"/>
  <c r="P937" i="1"/>
  <c r="O945" i="1"/>
  <c r="P964" i="1"/>
  <c r="O971" i="1"/>
  <c r="P996" i="1"/>
  <c r="P1021" i="1"/>
  <c r="P866" i="1"/>
  <c r="O918" i="1"/>
  <c r="P952" i="1"/>
  <c r="P977" i="1"/>
  <c r="P1009" i="1"/>
  <c r="K10" i="1"/>
  <c r="G20" i="1"/>
  <c r="G18" i="1"/>
  <c r="G16" i="1"/>
  <c r="G19" i="1"/>
  <c r="G17" i="1"/>
  <c r="P4" i="1" l="1"/>
  <c r="C6" i="5" l="1"/>
  <c r="E6" i="5" s="1"/>
  <c r="B10" i="5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M511" i="1"/>
  <c r="L8" i="1"/>
  <c r="M509" i="1"/>
  <c r="M510" i="1"/>
  <c r="M517" i="1"/>
  <c r="M518" i="1"/>
  <c r="M525" i="1"/>
  <c r="M526" i="1"/>
  <c r="M533" i="1"/>
  <c r="M534" i="1"/>
  <c r="M541" i="1"/>
  <c r="M542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7" i="1"/>
  <c r="M6" i="1"/>
  <c r="C9" i="5" l="1"/>
  <c r="M8" i="1"/>
  <c r="L9" i="1"/>
  <c r="M540" i="1"/>
  <c r="M532" i="1"/>
  <c r="M524" i="1"/>
  <c r="M516" i="1"/>
  <c r="M508" i="1"/>
  <c r="M539" i="1"/>
  <c r="M531" i="1"/>
  <c r="M523" i="1"/>
  <c r="M515" i="1"/>
  <c r="M507" i="1"/>
  <c r="M538" i="1"/>
  <c r="M530" i="1"/>
  <c r="M522" i="1"/>
  <c r="M514" i="1"/>
  <c r="M537" i="1"/>
  <c r="M529" i="1"/>
  <c r="M521" i="1"/>
  <c r="M513" i="1"/>
  <c r="M544" i="1"/>
  <c r="M536" i="1"/>
  <c r="M528" i="1"/>
  <c r="M520" i="1"/>
  <c r="M512" i="1"/>
  <c r="M543" i="1"/>
  <c r="M535" i="1"/>
  <c r="M527" i="1"/>
  <c r="M519" i="1"/>
  <c r="H140" i="1"/>
  <c r="H138" i="1"/>
  <c r="H136" i="1"/>
  <c r="H134" i="1"/>
  <c r="H132" i="1"/>
  <c r="H130" i="1"/>
  <c r="H128" i="1"/>
  <c r="H126" i="1"/>
  <c r="H124" i="1"/>
  <c r="H122" i="1"/>
  <c r="H120" i="1"/>
  <c r="H118" i="1"/>
  <c r="H116" i="1"/>
  <c r="H114" i="1"/>
  <c r="H112" i="1"/>
  <c r="H110" i="1"/>
  <c r="H108" i="1"/>
  <c r="H106" i="1"/>
  <c r="H104" i="1"/>
  <c r="H174" i="1"/>
  <c r="H165" i="1"/>
  <c r="H141" i="1"/>
  <c r="H101" i="1"/>
  <c r="H9" i="1" s="1"/>
  <c r="H99" i="1"/>
  <c r="H97" i="1"/>
  <c r="H95" i="1"/>
  <c r="H93" i="1"/>
  <c r="H91" i="1"/>
  <c r="H89" i="1"/>
  <c r="H87" i="1"/>
  <c r="H102" i="1"/>
  <c r="H85" i="1"/>
  <c r="H163" i="1"/>
  <c r="H161" i="1"/>
  <c r="H159" i="1"/>
  <c r="H157" i="1"/>
  <c r="H155" i="1"/>
  <c r="H153" i="1"/>
  <c r="H151" i="1"/>
  <c r="H149" i="1"/>
  <c r="H147" i="1"/>
  <c r="H145" i="1"/>
  <c r="H143" i="1"/>
  <c r="H42" i="1"/>
  <c r="H173" i="1"/>
  <c r="H171" i="1"/>
  <c r="H12" i="1" s="1"/>
  <c r="H169" i="1"/>
  <c r="H167" i="1"/>
  <c r="H21" i="1"/>
  <c r="H175" i="1"/>
  <c r="H100" i="1"/>
  <c r="H98" i="1"/>
  <c r="H96" i="1"/>
  <c r="H94" i="1"/>
  <c r="H92" i="1"/>
  <c r="H90" i="1"/>
  <c r="H88" i="1"/>
  <c r="H86" i="1"/>
  <c r="H170" i="1"/>
  <c r="H166" i="1"/>
  <c r="H162" i="1"/>
  <c r="H146" i="1"/>
  <c r="H80" i="1"/>
  <c r="H77" i="1"/>
  <c r="H62" i="1"/>
  <c r="H152" i="1"/>
  <c r="H139" i="1"/>
  <c r="H135" i="1"/>
  <c r="H131" i="1"/>
  <c r="H10" i="1" s="1"/>
  <c r="H127" i="1"/>
  <c r="H123" i="1"/>
  <c r="H119" i="1"/>
  <c r="H115" i="1"/>
  <c r="H111" i="1"/>
  <c r="H107" i="1"/>
  <c r="H103" i="1"/>
  <c r="H83" i="1"/>
  <c r="H70" i="1"/>
  <c r="H67" i="1"/>
  <c r="H41" i="1"/>
  <c r="H39" i="1"/>
  <c r="H37" i="1"/>
  <c r="H35" i="1"/>
  <c r="H33" i="1"/>
  <c r="H31" i="1"/>
  <c r="H29" i="1"/>
  <c r="H27" i="1"/>
  <c r="H25" i="1"/>
  <c r="H23" i="1"/>
  <c r="H158" i="1"/>
  <c r="H142" i="1"/>
  <c r="H76" i="1"/>
  <c r="H73" i="1"/>
  <c r="H64" i="1"/>
  <c r="H59" i="1"/>
  <c r="H57" i="1"/>
  <c r="H55" i="1"/>
  <c r="H53" i="1"/>
  <c r="H51" i="1"/>
  <c r="H49" i="1"/>
  <c r="H47" i="1"/>
  <c r="H45" i="1"/>
  <c r="H43" i="1"/>
  <c r="H164" i="1"/>
  <c r="H148" i="1"/>
  <c r="H82" i="1"/>
  <c r="H79" i="1"/>
  <c r="H172" i="1"/>
  <c r="H168" i="1"/>
  <c r="H154" i="1"/>
  <c r="H72" i="1"/>
  <c r="H69" i="1"/>
  <c r="H66" i="1"/>
  <c r="H160" i="1"/>
  <c r="H144" i="1"/>
  <c r="H137" i="1"/>
  <c r="H133" i="1"/>
  <c r="H129" i="1"/>
  <c r="H125" i="1"/>
  <c r="H121" i="1"/>
  <c r="H117" i="1"/>
  <c r="H113" i="1"/>
  <c r="H109" i="1"/>
  <c r="H105" i="1"/>
  <c r="H78" i="1"/>
  <c r="H75" i="1"/>
  <c r="H63" i="1"/>
  <c r="H40" i="1"/>
  <c r="H38" i="1"/>
  <c r="H36" i="1"/>
  <c r="H34" i="1"/>
  <c r="H32" i="1"/>
  <c r="H30" i="1"/>
  <c r="H28" i="1"/>
  <c r="H26" i="1"/>
  <c r="H24" i="1"/>
  <c r="H22" i="1"/>
  <c r="H81" i="1"/>
  <c r="H8" i="1" s="1"/>
  <c r="I8" i="1" s="1"/>
  <c r="H54" i="1"/>
  <c r="H19" i="1"/>
  <c r="H74" i="1"/>
  <c r="H65" i="1"/>
  <c r="H60" i="1"/>
  <c r="H44" i="1"/>
  <c r="H50" i="1"/>
  <c r="H84" i="1"/>
  <c r="H46" i="1"/>
  <c r="H52" i="1"/>
  <c r="H20" i="1"/>
  <c r="H71" i="1"/>
  <c r="H58" i="1"/>
  <c r="H17" i="1"/>
  <c r="H68" i="1"/>
  <c r="H61" i="1"/>
  <c r="H56" i="1"/>
  <c r="H150" i="1"/>
  <c r="H156" i="1"/>
  <c r="H48" i="1"/>
  <c r="H18" i="1"/>
  <c r="C10" i="5"/>
  <c r="B11" i="5"/>
  <c r="F6" i="5"/>
  <c r="D9" i="5" s="1"/>
  <c r="D10" i="5" l="1"/>
  <c r="H11" i="1"/>
  <c r="H7" i="1"/>
  <c r="H6" i="1"/>
  <c r="R10" i="1"/>
  <c r="M9" i="1"/>
  <c r="L10" i="1"/>
  <c r="B12" i="5"/>
  <c r="C11" i="5"/>
  <c r="D11" i="5"/>
  <c r="H16" i="1"/>
  <c r="H5" i="1" s="1"/>
  <c r="H13" i="1" l="1"/>
  <c r="L11" i="1"/>
  <c r="M10" i="1"/>
  <c r="D12" i="5"/>
  <c r="B13" i="5"/>
  <c r="C12" i="5"/>
  <c r="L12" i="1" l="1"/>
  <c r="M11" i="1"/>
  <c r="B14" i="5"/>
  <c r="C13" i="5"/>
  <c r="D13" i="5"/>
  <c r="L13" i="1" l="1"/>
  <c r="M12" i="1"/>
  <c r="C14" i="5"/>
  <c r="B15" i="5"/>
  <c r="D14" i="5"/>
  <c r="L14" i="1" l="1"/>
  <c r="M13" i="1"/>
  <c r="D15" i="5"/>
  <c r="C15" i="5"/>
  <c r="B16" i="5"/>
  <c r="L15" i="1" l="1"/>
  <c r="M14" i="1"/>
  <c r="B17" i="5"/>
  <c r="D16" i="5"/>
  <c r="C16" i="5"/>
  <c r="L16" i="1" l="1"/>
  <c r="M15" i="1"/>
  <c r="D17" i="5"/>
  <c r="C17" i="5"/>
  <c r="B18" i="5"/>
  <c r="L17" i="1" l="1"/>
  <c r="M16" i="1"/>
  <c r="C18" i="5"/>
  <c r="B19" i="5"/>
  <c r="D18" i="5"/>
  <c r="M17" i="1" l="1"/>
  <c r="L18" i="1"/>
  <c r="B20" i="5"/>
  <c r="C19" i="5"/>
  <c r="D19" i="5"/>
  <c r="L19" i="1" l="1"/>
  <c r="M18" i="1"/>
  <c r="D20" i="5"/>
  <c r="B21" i="5"/>
  <c r="C20" i="5"/>
  <c r="L20" i="1" l="1"/>
  <c r="M19" i="1"/>
  <c r="B22" i="5"/>
  <c r="C21" i="5"/>
  <c r="D21" i="5"/>
  <c r="L21" i="1" l="1"/>
  <c r="M20" i="1"/>
  <c r="C22" i="5"/>
  <c r="B23" i="5"/>
  <c r="D22" i="5"/>
  <c r="L22" i="1" l="1"/>
  <c r="M21" i="1"/>
  <c r="D23" i="5"/>
  <c r="C23" i="5"/>
  <c r="B24" i="5"/>
  <c r="M22" i="1" l="1"/>
  <c r="L23" i="1"/>
  <c r="B25" i="5"/>
  <c r="D24" i="5"/>
  <c r="C24" i="5"/>
  <c r="M23" i="1" l="1"/>
  <c r="L24" i="1"/>
  <c r="D25" i="5"/>
  <c r="B26" i="5"/>
  <c r="C25" i="5"/>
  <c r="M24" i="1" l="1"/>
  <c r="L25" i="1"/>
  <c r="C26" i="5"/>
  <c r="D26" i="5"/>
  <c r="B27" i="5"/>
  <c r="L26" i="1" l="1"/>
  <c r="M25" i="1"/>
  <c r="B28" i="5"/>
  <c r="D27" i="5"/>
  <c r="C27" i="5"/>
  <c r="L27" i="1" l="1"/>
  <c r="M26" i="1"/>
  <c r="D28" i="5"/>
  <c r="B29" i="5"/>
  <c r="C28" i="5"/>
  <c r="L28" i="1" l="1"/>
  <c r="M27" i="1"/>
  <c r="B30" i="5"/>
  <c r="C29" i="5"/>
  <c r="D29" i="5"/>
  <c r="L29" i="1" l="1"/>
  <c r="M28" i="1"/>
  <c r="C30" i="5"/>
  <c r="B31" i="5"/>
  <c r="D30" i="5"/>
  <c r="L30" i="1" l="1"/>
  <c r="M29" i="1"/>
  <c r="D31" i="5"/>
  <c r="C31" i="5"/>
  <c r="B32" i="5"/>
  <c r="L31" i="1" l="1"/>
  <c r="M30" i="1"/>
  <c r="B33" i="5"/>
  <c r="D32" i="5"/>
  <c r="C32" i="5"/>
  <c r="L32" i="1" l="1"/>
  <c r="M31" i="1"/>
  <c r="D33" i="5"/>
  <c r="C33" i="5"/>
  <c r="B34" i="5"/>
  <c r="L33" i="1" l="1"/>
  <c r="M32" i="1"/>
  <c r="C34" i="5"/>
  <c r="D34" i="5"/>
  <c r="B35" i="5"/>
  <c r="M33" i="1" l="1"/>
  <c r="L34" i="1"/>
  <c r="B36" i="5"/>
  <c r="D35" i="5"/>
  <c r="C35" i="5"/>
  <c r="L35" i="1" l="1"/>
  <c r="M34" i="1"/>
  <c r="D36" i="5"/>
  <c r="B37" i="5"/>
  <c r="C36" i="5"/>
  <c r="L36" i="1" l="1"/>
  <c r="M35" i="1"/>
  <c r="B38" i="5"/>
  <c r="C37" i="5"/>
  <c r="D37" i="5"/>
  <c r="L37" i="1" l="1"/>
  <c r="M36" i="1"/>
  <c r="C38" i="5"/>
  <c r="B39" i="5"/>
  <c r="D38" i="5"/>
  <c r="L38" i="1" l="1"/>
  <c r="M37" i="1"/>
  <c r="D39" i="5"/>
  <c r="C39" i="5"/>
  <c r="B40" i="5"/>
  <c r="L39" i="1" l="1"/>
  <c r="M38" i="1"/>
  <c r="B41" i="5"/>
  <c r="D40" i="5"/>
  <c r="C40" i="5"/>
  <c r="L40" i="1" l="1"/>
  <c r="M39" i="1"/>
  <c r="D41" i="5"/>
  <c r="B42" i="5"/>
  <c r="C41" i="5"/>
  <c r="M40" i="1" l="1"/>
  <c r="L41" i="1"/>
  <c r="C42" i="5"/>
  <c r="D42" i="5"/>
  <c r="B43" i="5"/>
  <c r="M41" i="1" l="1"/>
  <c r="L42" i="1"/>
  <c r="B44" i="5"/>
  <c r="D43" i="5"/>
  <c r="C43" i="5"/>
  <c r="L43" i="1" l="1"/>
  <c r="M42" i="1"/>
  <c r="D44" i="5"/>
  <c r="B45" i="5"/>
  <c r="C44" i="5"/>
  <c r="L44" i="1" l="1"/>
  <c r="M43" i="1"/>
  <c r="B46" i="5"/>
  <c r="C45" i="5"/>
  <c r="D45" i="5"/>
  <c r="L45" i="1" l="1"/>
  <c r="M44" i="1"/>
  <c r="C46" i="5"/>
  <c r="B47" i="5"/>
  <c r="D46" i="5"/>
  <c r="L46" i="1" l="1"/>
  <c r="M45" i="1"/>
  <c r="D47" i="5"/>
  <c r="C47" i="5"/>
  <c r="B48" i="5"/>
  <c r="L47" i="1" l="1"/>
  <c r="M46" i="1"/>
  <c r="B49" i="5"/>
  <c r="D48" i="5"/>
  <c r="C48" i="5"/>
  <c r="L48" i="1" l="1"/>
  <c r="M47" i="1"/>
  <c r="D49" i="5"/>
  <c r="C49" i="5"/>
  <c r="B50" i="5"/>
  <c r="M48" i="1" l="1"/>
  <c r="L49" i="1"/>
  <c r="C50" i="5"/>
  <c r="D50" i="5"/>
  <c r="B51" i="5"/>
  <c r="L50" i="1" l="1"/>
  <c r="M49" i="1"/>
  <c r="B52" i="5"/>
  <c r="D51" i="5"/>
  <c r="C51" i="5"/>
  <c r="L51" i="1" l="1"/>
  <c r="M50" i="1"/>
  <c r="D52" i="5"/>
  <c r="B53" i="5"/>
  <c r="C52" i="5"/>
  <c r="L52" i="1" l="1"/>
  <c r="M51" i="1"/>
  <c r="B54" i="5"/>
  <c r="C53" i="5"/>
  <c r="D53" i="5"/>
  <c r="L53" i="1" l="1"/>
  <c r="M52" i="1"/>
  <c r="C54" i="5"/>
  <c r="B55" i="5"/>
  <c r="D54" i="5"/>
  <c r="L54" i="1" l="1"/>
  <c r="M53" i="1"/>
  <c r="D55" i="5"/>
  <c r="C55" i="5"/>
  <c r="B56" i="5"/>
  <c r="L55" i="1" l="1"/>
  <c r="M54" i="1"/>
  <c r="B57" i="5"/>
  <c r="D56" i="5"/>
  <c r="C56" i="5"/>
  <c r="L56" i="1" l="1"/>
  <c r="M55" i="1"/>
  <c r="D57" i="5"/>
  <c r="B58" i="5"/>
  <c r="C57" i="5"/>
  <c r="M56" i="1" l="1"/>
  <c r="L57" i="1"/>
  <c r="C58" i="5"/>
  <c r="D58" i="5"/>
  <c r="B59" i="5"/>
  <c r="M57" i="1" l="1"/>
  <c r="L58" i="1"/>
  <c r="B60" i="5"/>
  <c r="D59" i="5"/>
  <c r="C59" i="5"/>
  <c r="M58" i="1" l="1"/>
  <c r="L59" i="1"/>
  <c r="D60" i="5"/>
  <c r="B61" i="5"/>
  <c r="C60" i="5"/>
  <c r="M59" i="1" l="1"/>
  <c r="L60" i="1"/>
  <c r="B62" i="5"/>
  <c r="C61" i="5"/>
  <c r="D61" i="5"/>
  <c r="M60" i="1" l="1"/>
  <c r="L61" i="1"/>
  <c r="C62" i="5"/>
  <c r="B63" i="5"/>
  <c r="D62" i="5"/>
  <c r="M61" i="1" l="1"/>
  <c r="L62" i="1"/>
  <c r="D63" i="5"/>
  <c r="C63" i="5"/>
  <c r="B64" i="5"/>
  <c r="L63" i="1" l="1"/>
  <c r="M62" i="1"/>
  <c r="B65" i="5"/>
  <c r="D64" i="5"/>
  <c r="C64" i="5"/>
  <c r="L64" i="1" l="1"/>
  <c r="M63" i="1"/>
  <c r="D65" i="5"/>
  <c r="C65" i="5"/>
  <c r="B66" i="5"/>
  <c r="M64" i="1" l="1"/>
  <c r="L65" i="1"/>
  <c r="C66" i="5"/>
  <c r="D66" i="5"/>
  <c r="B67" i="5"/>
  <c r="M65" i="1" l="1"/>
  <c r="L66" i="1"/>
  <c r="B68" i="5"/>
  <c r="D67" i="5"/>
  <c r="C67" i="5"/>
  <c r="M66" i="1" l="1"/>
  <c r="L67" i="1"/>
  <c r="D68" i="5"/>
  <c r="B69" i="5"/>
  <c r="C68" i="5"/>
  <c r="L68" i="1" l="1"/>
  <c r="M67" i="1"/>
  <c r="B70" i="5"/>
  <c r="C69" i="5"/>
  <c r="D69" i="5"/>
  <c r="L69" i="1" l="1"/>
  <c r="M68" i="1"/>
  <c r="C70" i="5"/>
  <c r="B71" i="5"/>
  <c r="D70" i="5"/>
  <c r="L70" i="1" l="1"/>
  <c r="M69" i="1"/>
  <c r="D71" i="5"/>
  <c r="C71" i="5"/>
  <c r="B72" i="5"/>
  <c r="L71" i="1" l="1"/>
  <c r="M70" i="1"/>
  <c r="K13" i="1" s="1"/>
  <c r="S7" i="1" s="1"/>
  <c r="B73" i="5"/>
  <c r="D72" i="5"/>
  <c r="C72" i="5"/>
  <c r="U7" i="1" l="1"/>
  <c r="U6" i="1"/>
  <c r="L72" i="1"/>
  <c r="M71" i="1"/>
  <c r="D73" i="5"/>
  <c r="B74" i="5"/>
  <c r="C73" i="5"/>
  <c r="M72" i="1" l="1"/>
  <c r="L73" i="1"/>
  <c r="C74" i="5"/>
  <c r="D74" i="5"/>
  <c r="B75" i="5"/>
  <c r="L74" i="1" l="1"/>
  <c r="M73" i="1"/>
  <c r="B76" i="5"/>
  <c r="D75" i="5"/>
  <c r="C75" i="5"/>
  <c r="L75" i="1" l="1"/>
  <c r="M74" i="1"/>
  <c r="D76" i="5"/>
  <c r="B77" i="5"/>
  <c r="C76" i="5"/>
  <c r="L76" i="1" l="1"/>
  <c r="M75" i="1"/>
  <c r="B78" i="5"/>
  <c r="C77" i="5"/>
  <c r="D77" i="5"/>
  <c r="M76" i="1" l="1"/>
  <c r="L77" i="1"/>
  <c r="C78" i="5"/>
  <c r="B79" i="5"/>
  <c r="D78" i="5"/>
  <c r="M77" i="1" l="1"/>
  <c r="L78" i="1"/>
  <c r="D79" i="5"/>
  <c r="C79" i="5"/>
  <c r="B80" i="5"/>
  <c r="M78" i="1" l="1"/>
  <c r="L79" i="1"/>
  <c r="B81" i="5"/>
  <c r="D80" i="5"/>
  <c r="C80" i="5"/>
  <c r="L80" i="1" l="1"/>
  <c r="M79" i="1"/>
  <c r="D81" i="5"/>
  <c r="C81" i="5"/>
  <c r="B82" i="5"/>
  <c r="M80" i="1" l="1"/>
  <c r="L81" i="1"/>
  <c r="C82" i="5"/>
  <c r="D82" i="5"/>
  <c r="B83" i="5"/>
  <c r="M81" i="1" l="1"/>
  <c r="L82" i="1"/>
  <c r="B84" i="5"/>
  <c r="D83" i="5"/>
  <c r="C83" i="5"/>
  <c r="M82" i="1" l="1"/>
  <c r="L83" i="1"/>
  <c r="D84" i="5"/>
  <c r="B85" i="5"/>
  <c r="C84" i="5"/>
  <c r="L84" i="1" l="1"/>
  <c r="M83" i="1"/>
  <c r="B86" i="5"/>
  <c r="C85" i="5"/>
  <c r="D85" i="5"/>
  <c r="M84" i="1" l="1"/>
  <c r="L85" i="1"/>
  <c r="C86" i="5"/>
  <c r="B87" i="5"/>
  <c r="D86" i="5"/>
  <c r="M85" i="1" l="1"/>
  <c r="L86" i="1"/>
  <c r="D87" i="5"/>
  <c r="C87" i="5"/>
  <c r="B88" i="5"/>
  <c r="M86" i="1" l="1"/>
  <c r="L87" i="1"/>
  <c r="B89" i="5"/>
  <c r="D88" i="5"/>
  <c r="C88" i="5"/>
  <c r="L88" i="1" l="1"/>
  <c r="M87" i="1"/>
  <c r="D89" i="5"/>
  <c r="B90" i="5"/>
  <c r="C89" i="5"/>
  <c r="L89" i="1" l="1"/>
  <c r="M88" i="1"/>
  <c r="C90" i="5"/>
  <c r="D90" i="5"/>
  <c r="B91" i="5"/>
  <c r="L90" i="1" l="1"/>
  <c r="M89" i="1"/>
  <c r="B92" i="5"/>
  <c r="D91" i="5"/>
  <c r="C91" i="5"/>
  <c r="M90" i="1" l="1"/>
  <c r="L91" i="1"/>
  <c r="D92" i="5"/>
  <c r="B93" i="5"/>
  <c r="C92" i="5"/>
  <c r="L92" i="1" l="1"/>
  <c r="M91" i="1"/>
  <c r="B94" i="5"/>
  <c r="C93" i="5"/>
  <c r="D93" i="5"/>
  <c r="M92" i="1" l="1"/>
  <c r="L93" i="1"/>
  <c r="C94" i="5"/>
  <c r="B95" i="5"/>
  <c r="D94" i="5"/>
  <c r="M93" i="1" l="1"/>
  <c r="L94" i="1"/>
  <c r="D95" i="5"/>
  <c r="C95" i="5"/>
  <c r="B96" i="5"/>
  <c r="L95" i="1" l="1"/>
  <c r="M94" i="1"/>
  <c r="B97" i="5"/>
  <c r="D96" i="5"/>
  <c r="C96" i="5"/>
  <c r="L96" i="1" l="1"/>
  <c r="M95" i="1"/>
  <c r="D97" i="5"/>
  <c r="C97" i="5"/>
  <c r="B98" i="5"/>
  <c r="M96" i="1" l="1"/>
  <c r="L97" i="1"/>
  <c r="C98" i="5"/>
  <c r="D98" i="5"/>
  <c r="B99" i="5"/>
  <c r="L98" i="1" l="1"/>
  <c r="M97" i="1"/>
  <c r="B100" i="5"/>
  <c r="D99" i="5"/>
  <c r="C99" i="5"/>
  <c r="M98" i="1" l="1"/>
  <c r="L99" i="1"/>
  <c r="D100" i="5"/>
  <c r="B101" i="5"/>
  <c r="C100" i="5"/>
  <c r="L100" i="1" l="1"/>
  <c r="M99" i="1"/>
  <c r="B102" i="5"/>
  <c r="C101" i="5"/>
  <c r="D101" i="5"/>
  <c r="M100" i="1" l="1"/>
  <c r="L101" i="1"/>
  <c r="C102" i="5"/>
  <c r="B103" i="5"/>
  <c r="D102" i="5"/>
  <c r="M101" i="1" l="1"/>
  <c r="L102" i="1"/>
  <c r="D103" i="5"/>
  <c r="C103" i="5"/>
  <c r="B104" i="5"/>
  <c r="L103" i="1" l="1"/>
  <c r="M102" i="1"/>
  <c r="B105" i="5"/>
  <c r="D104" i="5"/>
  <c r="C104" i="5"/>
  <c r="L104" i="1" l="1"/>
  <c r="M103" i="1"/>
  <c r="D105" i="5"/>
  <c r="B106" i="5"/>
  <c r="C105" i="5"/>
  <c r="L105" i="1" l="1"/>
  <c r="M104" i="1"/>
  <c r="C106" i="5"/>
  <c r="D106" i="5"/>
  <c r="B107" i="5"/>
  <c r="M105" i="1" l="1"/>
  <c r="L106" i="1"/>
  <c r="B108" i="5"/>
  <c r="D107" i="5"/>
  <c r="C107" i="5"/>
  <c r="M106" i="1" l="1"/>
  <c r="L107" i="1"/>
  <c r="D108" i="5"/>
  <c r="B109" i="5"/>
  <c r="C108" i="5"/>
  <c r="L108" i="1" l="1"/>
  <c r="M107" i="1"/>
  <c r="C109" i="5"/>
  <c r="D109" i="5"/>
  <c r="M108" i="1" l="1"/>
  <c r="L109" i="1"/>
  <c r="M109" i="1" l="1"/>
  <c r="L110" i="1"/>
  <c r="M110" i="1" l="1"/>
  <c r="L111" i="1"/>
  <c r="L112" i="1" l="1"/>
  <c r="M111" i="1"/>
  <c r="M112" i="1" l="1"/>
  <c r="L113" i="1"/>
  <c r="M113" i="1" l="1"/>
  <c r="L114" i="1"/>
  <c r="M114" i="1" l="1"/>
  <c r="L115" i="1"/>
  <c r="L116" i="1" l="1"/>
  <c r="M115" i="1"/>
  <c r="M116" i="1" l="1"/>
  <c r="L117" i="1"/>
  <c r="M117" i="1" l="1"/>
  <c r="L118" i="1"/>
  <c r="L119" i="1" l="1"/>
  <c r="M118" i="1"/>
  <c r="L120" i="1" l="1"/>
  <c r="M119" i="1"/>
  <c r="M120" i="1" l="1"/>
  <c r="L121" i="1"/>
  <c r="L122" i="1" l="1"/>
  <c r="M121" i="1"/>
  <c r="M122" i="1" l="1"/>
  <c r="L123" i="1"/>
  <c r="M123" i="1" l="1"/>
  <c r="L124" i="1"/>
  <c r="M124" i="1" l="1"/>
  <c r="L125" i="1"/>
  <c r="L126" i="1" l="1"/>
  <c r="M125" i="1"/>
  <c r="M126" i="1" l="1"/>
  <c r="L127" i="1"/>
  <c r="L128" i="1" l="1"/>
  <c r="M127" i="1"/>
  <c r="M128" i="1" l="1"/>
  <c r="L129" i="1"/>
  <c r="M129" i="1" l="1"/>
  <c r="L130" i="1"/>
  <c r="M130" i="1" l="1"/>
  <c r="L131" i="1"/>
  <c r="M131" i="1" l="1"/>
  <c r="L132" i="1"/>
  <c r="L133" i="1" l="1"/>
  <c r="M132" i="1"/>
  <c r="M133" i="1" l="1"/>
  <c r="L134" i="1"/>
  <c r="M134" i="1" l="1"/>
  <c r="L135" i="1"/>
  <c r="M135" i="1" l="1"/>
  <c r="L136" i="1"/>
  <c r="M136" i="1" l="1"/>
  <c r="L137" i="1"/>
  <c r="L138" i="1" l="1"/>
  <c r="M137" i="1"/>
  <c r="M138" i="1" l="1"/>
  <c r="L139" i="1"/>
  <c r="M139" i="1" l="1"/>
  <c r="L140" i="1"/>
  <c r="L141" i="1" l="1"/>
  <c r="M140" i="1"/>
  <c r="M141" i="1" l="1"/>
  <c r="L142" i="1"/>
  <c r="M142" i="1" l="1"/>
  <c r="L143" i="1"/>
  <c r="M143" i="1" l="1"/>
  <c r="L144" i="1"/>
  <c r="L145" i="1" l="1"/>
  <c r="M144" i="1"/>
  <c r="M145" i="1" l="1"/>
  <c r="L146" i="1"/>
  <c r="L147" i="1" l="1"/>
  <c r="M146" i="1"/>
  <c r="M147" i="1" l="1"/>
  <c r="L148" i="1"/>
  <c r="M148" i="1" l="1"/>
  <c r="L149" i="1"/>
  <c r="M149" i="1" l="1"/>
  <c r="L150" i="1"/>
  <c r="M150" i="1" l="1"/>
  <c r="L151" i="1"/>
  <c r="M151" i="1" l="1"/>
  <c r="L152" i="1"/>
  <c r="M152" i="1" l="1"/>
  <c r="L153" i="1"/>
  <c r="L154" i="1" l="1"/>
  <c r="M153" i="1"/>
  <c r="M154" i="1" l="1"/>
  <c r="L155" i="1"/>
  <c r="L156" i="1" l="1"/>
  <c r="M155" i="1"/>
  <c r="M156" i="1" l="1"/>
  <c r="L157" i="1"/>
  <c r="M157" i="1" l="1"/>
  <c r="L158" i="1"/>
  <c r="M158" i="1" l="1"/>
  <c r="L159" i="1"/>
  <c r="M159" i="1" l="1"/>
  <c r="L160" i="1"/>
  <c r="L161" i="1" l="1"/>
  <c r="M160" i="1"/>
  <c r="M161" i="1" l="1"/>
  <c r="L162" i="1"/>
  <c r="L163" i="1" l="1"/>
  <c r="M162" i="1"/>
  <c r="M163" i="1" l="1"/>
  <c r="L164" i="1"/>
  <c r="M164" i="1" l="1"/>
  <c r="L165" i="1"/>
  <c r="M165" i="1" l="1"/>
  <c r="L166" i="1"/>
  <c r="M166" i="1" l="1"/>
  <c r="L167" i="1"/>
  <c r="M167" i="1" l="1"/>
  <c r="L168" i="1"/>
  <c r="M168" i="1" l="1"/>
  <c r="L169" i="1"/>
  <c r="M169" i="1" l="1"/>
  <c r="L170" i="1"/>
  <c r="M170" i="1" l="1"/>
  <c r="L171" i="1"/>
  <c r="M171" i="1" l="1"/>
  <c r="L172" i="1"/>
  <c r="M172" i="1" l="1"/>
  <c r="L173" i="1"/>
  <c r="M173" i="1" l="1"/>
  <c r="L174" i="1"/>
  <c r="M174" i="1" l="1"/>
  <c r="L175" i="1"/>
  <c r="M175" i="1" l="1"/>
  <c r="L176" i="1"/>
  <c r="M176" i="1" l="1"/>
  <c r="L177" i="1"/>
  <c r="L178" i="1" l="1"/>
  <c r="M177" i="1"/>
  <c r="M178" i="1" l="1"/>
  <c r="L179" i="1"/>
  <c r="M179" i="1" l="1"/>
  <c r="L180" i="1"/>
  <c r="M180" i="1" l="1"/>
  <c r="L181" i="1"/>
  <c r="M181" i="1" l="1"/>
  <c r="L182" i="1"/>
  <c r="M182" i="1" l="1"/>
  <c r="L183" i="1"/>
  <c r="M183" i="1" l="1"/>
  <c r="L184" i="1"/>
  <c r="M184" i="1" l="1"/>
  <c r="L185" i="1"/>
  <c r="M185" i="1" l="1"/>
  <c r="L186" i="1"/>
  <c r="M186" i="1" l="1"/>
  <c r="L187" i="1"/>
  <c r="M187" i="1" l="1"/>
  <c r="L188" i="1"/>
  <c r="M188" i="1" l="1"/>
  <c r="L189" i="1"/>
  <c r="M189" i="1" l="1"/>
  <c r="L190" i="1"/>
  <c r="M190" i="1" l="1"/>
  <c r="L191" i="1"/>
  <c r="M191" i="1" l="1"/>
  <c r="L192" i="1"/>
  <c r="M192" i="1" l="1"/>
  <c r="L193" i="1"/>
  <c r="M193" i="1" l="1"/>
  <c r="L194" i="1"/>
  <c r="M194" i="1" l="1"/>
  <c r="L195" i="1"/>
  <c r="M195" i="1" l="1"/>
  <c r="L196" i="1"/>
  <c r="M196" i="1" l="1"/>
  <c r="L197" i="1"/>
  <c r="M197" i="1" l="1"/>
  <c r="L198" i="1"/>
  <c r="M198" i="1" l="1"/>
  <c r="L199" i="1"/>
  <c r="M199" i="1" l="1"/>
  <c r="L200" i="1"/>
  <c r="M200" i="1" l="1"/>
  <c r="L201" i="1"/>
  <c r="M201" i="1" l="1"/>
  <c r="L202" i="1"/>
  <c r="M202" i="1" l="1"/>
  <c r="L203" i="1"/>
  <c r="M203" i="1" l="1"/>
  <c r="L204" i="1"/>
  <c r="M204" i="1" l="1"/>
  <c r="L205" i="1"/>
  <c r="M205" i="1" l="1"/>
  <c r="L206" i="1"/>
  <c r="M206" i="1" l="1"/>
  <c r="L207" i="1"/>
  <c r="M207" i="1" l="1"/>
  <c r="L208" i="1"/>
  <c r="M208" i="1" l="1"/>
  <c r="L209" i="1"/>
  <c r="M209" i="1" l="1"/>
  <c r="L210" i="1"/>
  <c r="M210" i="1" l="1"/>
  <c r="L211" i="1"/>
  <c r="M211" i="1" l="1"/>
  <c r="L212" i="1"/>
  <c r="L213" i="1" l="1"/>
  <c r="M212" i="1"/>
  <c r="M213" i="1" l="1"/>
  <c r="L214" i="1"/>
  <c r="M214" i="1" l="1"/>
  <c r="L215" i="1"/>
  <c r="M215" i="1" l="1"/>
  <c r="L216" i="1"/>
  <c r="M216" i="1" l="1"/>
  <c r="L217" i="1"/>
  <c r="M217" i="1" l="1"/>
  <c r="L218" i="1"/>
  <c r="M218" i="1" l="1"/>
  <c r="L219" i="1"/>
  <c r="M219" i="1" l="1"/>
  <c r="L220" i="1"/>
  <c r="L221" i="1" l="1"/>
  <c r="M220" i="1"/>
  <c r="M221" i="1" l="1"/>
  <c r="L222" i="1"/>
  <c r="M222" i="1" l="1"/>
  <c r="L223" i="1"/>
  <c r="M223" i="1" l="1"/>
  <c r="L224" i="1"/>
  <c r="M224" i="1" l="1"/>
  <c r="L225" i="1"/>
  <c r="M225" i="1" l="1"/>
  <c r="L226" i="1"/>
  <c r="M226" i="1" l="1"/>
  <c r="L227" i="1"/>
  <c r="M227" i="1" l="1"/>
  <c r="L228" i="1"/>
  <c r="M228" i="1" l="1"/>
  <c r="L229" i="1"/>
  <c r="M229" i="1" l="1"/>
  <c r="L230" i="1"/>
  <c r="M230" i="1" l="1"/>
  <c r="L231" i="1"/>
  <c r="M231" i="1" l="1"/>
  <c r="L232" i="1"/>
  <c r="M232" i="1" l="1"/>
  <c r="L233" i="1"/>
  <c r="M233" i="1" l="1"/>
  <c r="L234" i="1"/>
  <c r="M234" i="1" l="1"/>
  <c r="L235" i="1"/>
  <c r="M235" i="1" l="1"/>
  <c r="L236" i="1"/>
  <c r="M236" i="1" l="1"/>
  <c r="L237" i="1"/>
  <c r="M237" i="1" l="1"/>
  <c r="L238" i="1"/>
  <c r="L239" i="1" l="1"/>
  <c r="M238" i="1"/>
  <c r="M239" i="1" l="1"/>
  <c r="L240" i="1"/>
  <c r="M240" i="1" l="1"/>
  <c r="L241" i="1"/>
  <c r="M241" i="1" l="1"/>
  <c r="L242" i="1"/>
  <c r="M242" i="1" l="1"/>
  <c r="L243" i="1"/>
  <c r="M243" i="1" l="1"/>
  <c r="L244" i="1"/>
  <c r="M244" i="1" l="1"/>
  <c r="L245" i="1"/>
  <c r="M245" i="1" l="1"/>
  <c r="L246" i="1"/>
  <c r="M246" i="1" l="1"/>
  <c r="L247" i="1"/>
  <c r="M247" i="1" l="1"/>
  <c r="L248" i="1"/>
  <c r="M248" i="1" l="1"/>
  <c r="L249" i="1"/>
  <c r="M249" i="1" l="1"/>
  <c r="L250" i="1"/>
  <c r="M250" i="1" l="1"/>
  <c r="L251" i="1"/>
  <c r="L252" i="1" l="1"/>
  <c r="M251" i="1"/>
  <c r="M252" i="1" l="1"/>
  <c r="L253" i="1"/>
  <c r="M253" i="1" l="1"/>
  <c r="L254" i="1"/>
  <c r="M254" i="1" l="1"/>
  <c r="L255" i="1"/>
  <c r="M255" i="1" l="1"/>
  <c r="L256" i="1"/>
  <c r="M256" i="1" l="1"/>
  <c r="L257" i="1"/>
  <c r="M257" i="1" l="1"/>
  <c r="L258" i="1"/>
  <c r="M258" i="1" l="1"/>
  <c r="L259" i="1"/>
  <c r="M259" i="1" l="1"/>
  <c r="L260" i="1"/>
  <c r="M260" i="1" l="1"/>
  <c r="L261" i="1"/>
  <c r="M261" i="1" l="1"/>
  <c r="L262" i="1"/>
  <c r="L263" i="1" l="1"/>
  <c r="M262" i="1"/>
  <c r="M263" i="1" l="1"/>
  <c r="L264" i="1"/>
  <c r="M264" i="1" l="1"/>
  <c r="L265" i="1"/>
  <c r="M265" i="1" l="1"/>
  <c r="L266" i="1"/>
  <c r="L267" i="1" l="1"/>
  <c r="M266" i="1"/>
  <c r="M267" i="1" l="1"/>
  <c r="L268" i="1"/>
  <c r="M268" i="1" l="1"/>
  <c r="L269" i="1"/>
  <c r="M269" i="1" l="1"/>
  <c r="L270" i="1"/>
  <c r="M270" i="1" l="1"/>
  <c r="L271" i="1"/>
  <c r="M271" i="1" l="1"/>
  <c r="L272" i="1"/>
  <c r="M272" i="1" l="1"/>
  <c r="L273" i="1"/>
  <c r="M273" i="1" l="1"/>
  <c r="L274" i="1"/>
  <c r="M274" i="1" l="1"/>
  <c r="L275" i="1"/>
  <c r="M275" i="1" l="1"/>
  <c r="L276" i="1"/>
  <c r="M276" i="1" l="1"/>
  <c r="L277" i="1"/>
  <c r="M277" i="1" l="1"/>
  <c r="L278" i="1"/>
  <c r="M278" i="1" l="1"/>
  <c r="L279" i="1"/>
  <c r="M279" i="1" l="1"/>
  <c r="L280" i="1"/>
  <c r="M280" i="1" l="1"/>
  <c r="L281" i="1"/>
  <c r="M281" i="1" l="1"/>
  <c r="L282" i="1"/>
  <c r="M282" i="1" l="1"/>
  <c r="L283" i="1"/>
  <c r="M283" i="1" l="1"/>
  <c r="L284" i="1"/>
  <c r="M284" i="1" l="1"/>
  <c r="L285" i="1"/>
  <c r="M285" i="1" l="1"/>
  <c r="L286" i="1"/>
  <c r="M286" i="1" l="1"/>
  <c r="L287" i="1"/>
  <c r="M287" i="1" l="1"/>
  <c r="L288" i="1"/>
  <c r="M288" i="1" l="1"/>
  <c r="L289" i="1"/>
  <c r="M289" i="1" l="1"/>
  <c r="L290" i="1"/>
  <c r="M290" i="1" l="1"/>
  <c r="L291" i="1"/>
  <c r="M291" i="1" l="1"/>
  <c r="L292" i="1"/>
  <c r="M292" i="1" l="1"/>
  <c r="L293" i="1"/>
  <c r="L294" i="1" l="1"/>
  <c r="M293" i="1"/>
  <c r="M294" i="1" l="1"/>
  <c r="L295" i="1"/>
  <c r="M295" i="1" l="1"/>
  <c r="L296" i="1"/>
  <c r="L297" i="1" l="1"/>
  <c r="M296" i="1"/>
  <c r="M297" i="1" l="1"/>
  <c r="L298" i="1"/>
  <c r="M298" i="1" l="1"/>
  <c r="L299" i="1"/>
  <c r="M299" i="1" l="1"/>
  <c r="L300" i="1"/>
  <c r="L301" i="1" l="1"/>
  <c r="M300" i="1"/>
  <c r="M301" i="1" l="1"/>
  <c r="L302" i="1"/>
  <c r="M302" i="1" l="1"/>
  <c r="L303" i="1"/>
  <c r="M303" i="1" l="1"/>
  <c r="L304" i="1"/>
  <c r="M304" i="1" l="1"/>
  <c r="L305" i="1"/>
  <c r="M305" i="1" l="1"/>
  <c r="L306" i="1"/>
  <c r="M306" i="1" l="1"/>
  <c r="L307" i="1"/>
  <c r="M307" i="1" l="1"/>
  <c r="L308" i="1"/>
  <c r="L309" i="1" l="1"/>
  <c r="M308" i="1"/>
  <c r="M309" i="1" l="1"/>
  <c r="L310" i="1"/>
  <c r="M310" i="1" l="1"/>
  <c r="L311" i="1"/>
  <c r="M311" i="1" l="1"/>
  <c r="L312" i="1"/>
  <c r="M312" i="1" l="1"/>
  <c r="L313" i="1"/>
  <c r="M313" i="1" l="1"/>
  <c r="L314" i="1"/>
  <c r="M314" i="1" l="1"/>
  <c r="L315" i="1"/>
  <c r="M315" i="1" l="1"/>
  <c r="L316" i="1"/>
  <c r="M316" i="1" l="1"/>
  <c r="L317" i="1"/>
  <c r="M317" i="1" l="1"/>
  <c r="L318" i="1"/>
  <c r="M318" i="1" l="1"/>
  <c r="L319" i="1"/>
  <c r="M319" i="1" l="1"/>
  <c r="L320" i="1"/>
  <c r="M320" i="1" l="1"/>
  <c r="L321" i="1"/>
  <c r="L322" i="1" l="1"/>
  <c r="M321" i="1"/>
  <c r="M322" i="1" l="1"/>
  <c r="L323" i="1"/>
  <c r="M323" i="1" l="1"/>
  <c r="L324" i="1"/>
  <c r="M324" i="1" l="1"/>
  <c r="L325" i="1"/>
  <c r="M325" i="1" l="1"/>
  <c r="L326" i="1"/>
  <c r="M326" i="1" l="1"/>
  <c r="L327" i="1"/>
  <c r="M327" i="1" l="1"/>
  <c r="L328" i="1"/>
  <c r="M328" i="1" l="1"/>
  <c r="L329" i="1"/>
  <c r="M329" i="1" l="1"/>
  <c r="L330" i="1"/>
  <c r="M330" i="1" l="1"/>
  <c r="L331" i="1"/>
  <c r="M331" i="1" l="1"/>
  <c r="L332" i="1"/>
  <c r="L333" i="1" l="1"/>
  <c r="M332" i="1"/>
  <c r="M333" i="1" l="1"/>
  <c r="L334" i="1"/>
  <c r="M334" i="1" l="1"/>
  <c r="L335" i="1"/>
  <c r="M335" i="1" l="1"/>
  <c r="L336" i="1"/>
  <c r="M336" i="1" l="1"/>
  <c r="L337" i="1"/>
  <c r="M337" i="1" l="1"/>
  <c r="L338" i="1"/>
  <c r="M338" i="1" l="1"/>
  <c r="L339" i="1"/>
  <c r="M339" i="1" l="1"/>
  <c r="L340" i="1"/>
  <c r="M340" i="1" l="1"/>
  <c r="L341" i="1"/>
  <c r="M341" i="1" l="1"/>
  <c r="L342" i="1"/>
  <c r="M342" i="1" l="1"/>
  <c r="L343" i="1"/>
  <c r="L344" i="1" l="1"/>
  <c r="M343" i="1"/>
  <c r="L345" i="1" l="1"/>
  <c r="M344" i="1"/>
  <c r="M345" i="1" l="1"/>
  <c r="L346" i="1"/>
  <c r="M346" i="1" l="1"/>
  <c r="L347" i="1"/>
  <c r="M347" i="1" l="1"/>
  <c r="L348" i="1"/>
  <c r="M348" i="1" l="1"/>
  <c r="L349" i="1"/>
  <c r="M349" i="1" l="1"/>
  <c r="L350" i="1"/>
  <c r="L351" i="1" l="1"/>
  <c r="M350" i="1"/>
  <c r="M351" i="1" l="1"/>
  <c r="L352" i="1"/>
  <c r="M352" i="1" l="1"/>
  <c r="L353" i="1"/>
  <c r="M353" i="1" l="1"/>
  <c r="L354" i="1"/>
  <c r="L355" i="1" l="1"/>
  <c r="M354" i="1"/>
  <c r="M355" i="1" l="1"/>
  <c r="L356" i="1"/>
  <c r="M356" i="1" l="1"/>
  <c r="L357" i="1"/>
  <c r="L358" i="1" l="1"/>
  <c r="M357" i="1"/>
  <c r="M358" i="1" l="1"/>
  <c r="L359" i="1"/>
  <c r="M359" i="1" l="1"/>
  <c r="L360" i="1"/>
  <c r="L361" i="1" l="1"/>
  <c r="M360" i="1"/>
  <c r="M361" i="1" l="1"/>
  <c r="L362" i="1"/>
  <c r="M362" i="1" l="1"/>
  <c r="L363" i="1"/>
  <c r="M363" i="1" l="1"/>
  <c r="L364" i="1"/>
  <c r="M364" i="1" l="1"/>
  <c r="L365" i="1"/>
  <c r="M365" i="1" l="1"/>
  <c r="L366" i="1"/>
  <c r="L367" i="1" l="1"/>
  <c r="M366" i="1"/>
  <c r="M367" i="1" l="1"/>
  <c r="L368" i="1"/>
  <c r="M368" i="1" l="1"/>
  <c r="L369" i="1"/>
  <c r="M369" i="1" l="1"/>
  <c r="L370" i="1"/>
  <c r="L371" i="1" l="1"/>
  <c r="M370" i="1"/>
  <c r="M371" i="1" l="1"/>
  <c r="L372" i="1"/>
  <c r="M372" i="1" l="1"/>
  <c r="L373" i="1"/>
  <c r="M373" i="1" l="1"/>
  <c r="L374" i="1"/>
  <c r="M374" i="1" l="1"/>
  <c r="L375" i="1"/>
  <c r="M375" i="1" l="1"/>
  <c r="L376" i="1"/>
  <c r="M376" i="1" l="1"/>
  <c r="L377" i="1"/>
  <c r="L378" i="1" l="1"/>
  <c r="M377" i="1"/>
  <c r="L379" i="1" l="1"/>
  <c r="M378" i="1"/>
  <c r="M379" i="1" l="1"/>
  <c r="L380" i="1"/>
  <c r="M380" i="1" l="1"/>
  <c r="L381" i="1"/>
  <c r="M381" i="1" l="1"/>
  <c r="L382" i="1"/>
  <c r="M382" i="1" l="1"/>
  <c r="L383" i="1"/>
  <c r="M383" i="1" l="1"/>
  <c r="L384" i="1"/>
  <c r="M384" i="1" l="1"/>
  <c r="L385" i="1"/>
  <c r="M385" i="1" l="1"/>
  <c r="L386" i="1"/>
  <c r="M386" i="1" l="1"/>
  <c r="L387" i="1"/>
  <c r="M387" i="1" l="1"/>
  <c r="L388" i="1"/>
  <c r="M388" i="1" l="1"/>
  <c r="L389" i="1"/>
  <c r="M389" i="1" l="1"/>
  <c r="L390" i="1"/>
  <c r="M390" i="1" l="1"/>
  <c r="L391" i="1"/>
  <c r="M391" i="1" l="1"/>
  <c r="L392" i="1"/>
  <c r="M392" i="1" l="1"/>
  <c r="L393" i="1"/>
  <c r="M393" i="1" l="1"/>
  <c r="L394" i="1"/>
  <c r="M394" i="1" l="1"/>
  <c r="L395" i="1"/>
  <c r="M395" i="1" l="1"/>
  <c r="L396" i="1"/>
  <c r="M396" i="1" l="1"/>
  <c r="L397" i="1"/>
  <c r="M397" i="1" l="1"/>
  <c r="L398" i="1"/>
  <c r="M398" i="1" l="1"/>
  <c r="L399" i="1"/>
  <c r="M399" i="1" l="1"/>
  <c r="L400" i="1"/>
  <c r="L401" i="1" l="1"/>
  <c r="M400" i="1"/>
  <c r="M401" i="1" l="1"/>
  <c r="L402" i="1"/>
  <c r="M402" i="1" l="1"/>
  <c r="L403" i="1"/>
  <c r="M403" i="1" l="1"/>
  <c r="L404" i="1"/>
  <c r="M404" i="1" l="1"/>
  <c r="L405" i="1"/>
  <c r="M405" i="1" l="1"/>
  <c r="L406" i="1"/>
  <c r="M406" i="1" l="1"/>
  <c r="L407" i="1"/>
  <c r="M407" i="1" l="1"/>
  <c r="L408" i="1"/>
  <c r="M408" i="1" l="1"/>
  <c r="L409" i="1"/>
  <c r="M409" i="1" l="1"/>
  <c r="L410" i="1"/>
  <c r="M410" i="1" l="1"/>
  <c r="L411" i="1"/>
  <c r="M411" i="1" l="1"/>
  <c r="L412" i="1"/>
  <c r="M412" i="1" l="1"/>
  <c r="L413" i="1"/>
  <c r="M413" i="1" l="1"/>
  <c r="L414" i="1"/>
  <c r="L415" i="1" l="1"/>
  <c r="M414" i="1"/>
  <c r="M415" i="1" l="1"/>
  <c r="L416" i="1"/>
  <c r="M416" i="1" l="1"/>
  <c r="L417" i="1"/>
  <c r="M417" i="1" l="1"/>
  <c r="L418" i="1"/>
  <c r="M418" i="1" l="1"/>
  <c r="L419" i="1"/>
  <c r="M419" i="1" l="1"/>
  <c r="L420" i="1"/>
  <c r="M420" i="1" l="1"/>
  <c r="L421" i="1"/>
  <c r="M421" i="1" l="1"/>
  <c r="L422" i="1"/>
  <c r="M422" i="1" l="1"/>
  <c r="L423" i="1"/>
  <c r="M423" i="1" l="1"/>
  <c r="L424" i="1"/>
  <c r="M424" i="1" l="1"/>
  <c r="L425" i="1"/>
  <c r="M425" i="1" l="1"/>
  <c r="L426" i="1"/>
  <c r="M426" i="1" l="1"/>
  <c r="L427" i="1"/>
  <c r="M427" i="1" l="1"/>
  <c r="L428" i="1"/>
  <c r="M428" i="1" l="1"/>
  <c r="L429" i="1"/>
  <c r="M429" i="1" l="1"/>
  <c r="L430" i="1"/>
  <c r="M430" i="1" l="1"/>
  <c r="L431" i="1"/>
  <c r="M431" i="1" l="1"/>
  <c r="L432" i="1"/>
  <c r="M432" i="1" l="1"/>
  <c r="L433" i="1"/>
  <c r="M433" i="1" l="1"/>
  <c r="L434" i="1"/>
  <c r="M434" i="1" l="1"/>
  <c r="L435" i="1"/>
  <c r="M435" i="1" l="1"/>
  <c r="L436" i="1"/>
  <c r="M436" i="1" l="1"/>
  <c r="L437" i="1"/>
  <c r="M437" i="1" l="1"/>
  <c r="L438" i="1"/>
  <c r="M438" i="1" l="1"/>
  <c r="L439" i="1"/>
  <c r="M439" i="1" l="1"/>
  <c r="L440" i="1"/>
  <c r="M440" i="1" l="1"/>
  <c r="L441" i="1"/>
  <c r="M441" i="1" l="1"/>
  <c r="L442" i="1"/>
  <c r="M442" i="1" l="1"/>
  <c r="L443" i="1"/>
  <c r="M443" i="1" l="1"/>
  <c r="L444" i="1"/>
  <c r="M444" i="1" l="1"/>
  <c r="L445" i="1"/>
  <c r="M445" i="1" l="1"/>
  <c r="L446" i="1"/>
  <c r="M446" i="1" l="1"/>
  <c r="L447" i="1"/>
  <c r="M447" i="1" l="1"/>
  <c r="L448" i="1"/>
  <c r="M448" i="1" l="1"/>
  <c r="L449" i="1"/>
  <c r="M449" i="1" l="1"/>
  <c r="L450" i="1"/>
  <c r="L451" i="1" l="1"/>
  <c r="M450" i="1"/>
  <c r="M451" i="1" l="1"/>
  <c r="L452" i="1"/>
  <c r="M452" i="1" l="1"/>
  <c r="L453" i="1"/>
  <c r="M453" i="1" l="1"/>
  <c r="L454" i="1"/>
  <c r="M454" i="1" l="1"/>
  <c r="L455" i="1"/>
  <c r="M455" i="1" l="1"/>
  <c r="L456" i="1"/>
  <c r="M456" i="1" l="1"/>
  <c r="L457" i="1"/>
  <c r="M457" i="1" l="1"/>
  <c r="L458" i="1"/>
  <c r="M458" i="1" l="1"/>
  <c r="L459" i="1"/>
  <c r="M459" i="1" l="1"/>
  <c r="L460" i="1"/>
  <c r="M460" i="1" l="1"/>
  <c r="L461" i="1"/>
  <c r="M461" i="1" l="1"/>
  <c r="L462" i="1"/>
  <c r="M462" i="1" l="1"/>
  <c r="L463" i="1"/>
  <c r="M463" i="1" l="1"/>
  <c r="L464" i="1"/>
  <c r="M464" i="1" l="1"/>
  <c r="L465" i="1"/>
  <c r="L466" i="1" l="1"/>
  <c r="M465" i="1"/>
  <c r="L467" i="1" l="1"/>
  <c r="M466" i="1"/>
  <c r="M467" i="1" l="1"/>
  <c r="L468" i="1"/>
  <c r="L469" i="1" l="1"/>
  <c r="M468" i="1"/>
  <c r="M469" i="1" l="1"/>
  <c r="L470" i="1"/>
  <c r="M470" i="1" l="1"/>
  <c r="L471" i="1"/>
  <c r="M471" i="1" l="1"/>
  <c r="L472" i="1"/>
  <c r="L473" i="1" l="1"/>
  <c r="M472" i="1"/>
  <c r="M473" i="1" l="1"/>
  <c r="L474" i="1"/>
  <c r="M474" i="1" l="1"/>
  <c r="L475" i="1"/>
  <c r="M475" i="1" l="1"/>
  <c r="L476" i="1"/>
  <c r="L477" i="1" l="1"/>
  <c r="M476" i="1"/>
  <c r="M477" i="1" l="1"/>
  <c r="L478" i="1"/>
  <c r="M478" i="1" l="1"/>
  <c r="L479" i="1"/>
  <c r="M479" i="1" l="1"/>
  <c r="L480" i="1"/>
  <c r="L481" i="1" l="1"/>
  <c r="M480" i="1"/>
  <c r="M481" i="1" l="1"/>
  <c r="L482" i="1"/>
  <c r="M482" i="1" l="1"/>
  <c r="L483" i="1"/>
  <c r="M483" i="1" l="1"/>
  <c r="L484" i="1"/>
  <c r="M484" i="1" l="1"/>
  <c r="L485" i="1"/>
  <c r="M485" i="1" l="1"/>
  <c r="L486" i="1"/>
  <c r="M486" i="1" l="1"/>
  <c r="L487" i="1"/>
  <c r="M487" i="1" l="1"/>
  <c r="L488" i="1"/>
  <c r="L489" i="1" l="1"/>
  <c r="M488" i="1"/>
  <c r="M489" i="1" l="1"/>
  <c r="L490" i="1"/>
  <c r="M490" i="1" l="1"/>
  <c r="L491" i="1"/>
  <c r="L492" i="1" l="1"/>
  <c r="M491" i="1"/>
  <c r="L493" i="1" l="1"/>
  <c r="M492" i="1"/>
  <c r="M493" i="1" l="1"/>
  <c r="L494" i="1"/>
  <c r="M494" i="1" l="1"/>
  <c r="L495" i="1"/>
  <c r="L496" i="1" l="1"/>
  <c r="M495" i="1"/>
  <c r="L497" i="1" l="1"/>
  <c r="M496" i="1"/>
  <c r="M497" i="1" l="1"/>
  <c r="L498" i="1"/>
  <c r="M498" i="1" l="1"/>
  <c r="L499" i="1"/>
  <c r="M499" i="1" l="1"/>
  <c r="L500" i="1"/>
  <c r="M500" i="1" l="1"/>
  <c r="L501" i="1"/>
  <c r="M501" i="1" l="1"/>
  <c r="L502" i="1"/>
  <c r="M502" i="1" l="1"/>
  <c r="L503" i="1"/>
  <c r="L504" i="1" l="1"/>
  <c r="M503" i="1"/>
  <c r="M504" i="1" l="1"/>
  <c r="L505" i="1"/>
  <c r="M505" i="1" l="1"/>
  <c r="L506" i="1"/>
  <c r="M506" i="1" s="1"/>
</calcChain>
</file>

<file path=xl/sharedStrings.xml><?xml version="1.0" encoding="utf-8"?>
<sst xmlns="http://schemas.openxmlformats.org/spreadsheetml/2006/main" count="34" uniqueCount="29">
  <si>
    <t>Bins</t>
  </si>
  <si>
    <t>EL</t>
  </si>
  <si>
    <t>Int Points</t>
  </si>
  <si>
    <t>Corr</t>
  </si>
  <si>
    <t>PD</t>
  </si>
  <si>
    <t>Rec</t>
  </si>
  <si>
    <t xml:space="preserve">Notional </t>
  </si>
  <si>
    <t>Monte Carlo</t>
  </si>
  <si>
    <t>Rho</t>
  </si>
  <si>
    <t>Sims</t>
  </si>
  <si>
    <t>UL</t>
  </si>
  <si>
    <t>p</t>
  </si>
  <si>
    <t>n</t>
  </si>
  <si>
    <t>x</t>
  </si>
  <si>
    <t>Correlation</t>
  </si>
  <si>
    <t xml:space="preserve">actual </t>
  </si>
  <si>
    <t>normal</t>
  </si>
  <si>
    <t>Conditional Normal Approximation</t>
  </si>
  <si>
    <t>Type</t>
  </si>
  <si>
    <t># loans</t>
  </si>
  <si>
    <t>Size</t>
  </si>
  <si>
    <t>Recovery</t>
  </si>
  <si>
    <t>Quantile</t>
  </si>
  <si>
    <t>Total Notional</t>
  </si>
  <si>
    <t>Other Inputs / Calcs</t>
  </si>
  <si>
    <t>Portfolio details</t>
  </si>
  <si>
    <t>Unexpected loss</t>
  </si>
  <si>
    <t xml:space="preserve">Analytical </t>
  </si>
  <si>
    <t>Seed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</si>
</sst>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3" formatCode="_-* #,##0.00_-;\-* #,##0.00_-;_-* &quot;-&quot;??_-;_-@_-"/>
    <numFmt numFmtId="164" formatCode="0.0000000"/>
    <numFmt numFmtId="165" formatCode="0.00000"/>
    <numFmt numFmtId="166" formatCode="&quot;$&quot;#,##0_);\(&quot;$&quot;#,##0\)"/>
    <numFmt numFmtId="167" formatCode="&quot;$&quot;#,##0.00_);[Red]\(&quot;$&quot;#,##0.00\)"/>
    <numFmt numFmtId="168" formatCode="_(&quot;$&quot;* #,##0.00_);_(&quot;$&quot;* \(#,##0.00\);_(&quot;$&quot;* &quot;-&quot;??_);_(@_)"/>
    <numFmt numFmtId="169" formatCode="0.0000"/>
    <numFmt numFmtId="170" formatCode="0.000%"/>
    <numFmt numFmtId="171" formatCode="0.0%"/>
    <numFmt numFmtId="172" formatCode="[$-409]d\-mmm\-yy;@"/>
    <numFmt numFmtId="173" formatCode="#,##0.00&quot; kr&quot;;[Red]&quot;-&quot;#,##0.00&quot; kr&quot;"/>
    <numFmt numFmtId="174" formatCode="_ * #,##0.00_ ;_ * \-#,##0.00_ ;_ * &quot;-&quot;??_ ;_ @_ "/>
    <numFmt numFmtId="175" formatCode="_ * #,##0_ ;_ * \-#,##0_ ;_ * &quot;-&quot;_ ;_ @_ "/>
    <numFmt numFmtId="176" formatCode="&quot;$&quot;#.##"/>
    <numFmt numFmtId="177" formatCode="&quot;$&quot;#,##0\ ;\(&quot;$&quot;#,##0\)"/>
    <numFmt numFmtId="178" formatCode="0.00_)"/>
    <numFmt numFmtId="179" formatCode="#,##0_ ;[Red]\-#,##0\ "/>
    <numFmt numFmtId="180" formatCode="#,##0.0;#,##0.0"/>
    <numFmt numFmtId="181" formatCode="\+#,##0.00;\-#,##0.00"/>
    <numFmt numFmtId="182" formatCode="_-* #,##0_-;\-* #,##0_-;_-* &quot;-&quot;??_-;_-@_-"/>
    <numFmt numFmtId="183" formatCode="0.000000"/>
    <numFmt numFmtId="184" formatCode="0.00000000"/>
    <numFmt numFmtId="185" formatCode="0.000"/>
    <numFmt numFmtId="186" formatCode="_-* #,##0.0_-;\-* #,##0.0_-;_-* &quot;-&quot;??_-;_-@_-"/>
    <numFmt numFmtId="187" formatCode="0.0"/>
    <numFmt numFmtId="188" formatCode="_-* #,##0.000_-;\-* #,##0.000_-;_-* &quot;-&quot;??_-;_-@_-"/>
  </numFmts>
  <fonts count="4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sz val="11"/>
      <color indexed="23"/>
      <name val="Calibri"/>
      <family val="2"/>
    </font>
    <font>
      <i/>
      <sz val="10"/>
      <color rgb="FF969696"/>
      <name val="Tahoma"/>
      <family val="2"/>
    </font>
    <font>
      <b/>
      <sz val="10"/>
      <color theme="0"/>
      <name val="Tahoma"/>
      <family val="2"/>
    </font>
    <font>
      <sz val="10"/>
      <name val="Geneva"/>
    </font>
    <font>
      <sz val="10"/>
      <name val="Geneva"/>
      <family val="2"/>
    </font>
    <font>
      <sz val="11"/>
      <name val="??"/>
      <family val="1"/>
      <charset val="128"/>
    </font>
    <font>
      <sz val="10"/>
      <name val="MS Sans Serif"/>
      <family val="2"/>
    </font>
    <font>
      <sz val="10"/>
      <color indexed="10"/>
      <name val="MS Sans Serif"/>
      <family val="2"/>
    </font>
    <font>
      <b/>
      <sz val="11"/>
      <color indexed="9"/>
      <name val="Calibri"/>
      <family val="2"/>
    </font>
    <font>
      <sz val="12"/>
      <name val="Tms Rmn"/>
      <family val="1"/>
    </font>
    <font>
      <sz val="10"/>
      <name val="MS Serif"/>
      <family val="1"/>
    </font>
    <font>
      <sz val="10"/>
      <color indexed="16"/>
      <name val="MS Serif"/>
      <family val="1"/>
    </font>
    <font>
      <i/>
      <sz val="6.5"/>
      <name val="News Gothic"/>
      <family val="2"/>
    </font>
    <font>
      <sz val="8"/>
      <name val="Arial"/>
      <family val="2"/>
      <charset val="162"/>
    </font>
    <font>
      <b/>
      <sz val="12"/>
      <name val="Arial"/>
      <family val="2"/>
      <charset val="162"/>
    </font>
    <font>
      <b/>
      <sz val="18"/>
      <name val="Arial"/>
      <family val="2"/>
    </font>
    <font>
      <b/>
      <sz val="12"/>
      <name val="Arial"/>
      <family val="2"/>
    </font>
    <font>
      <u/>
      <sz val="10"/>
      <color indexed="12"/>
      <name val="Arial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b/>
      <sz val="9"/>
      <color indexed="9"/>
      <name val="Verdana"/>
      <family val="2"/>
    </font>
    <font>
      <b/>
      <i/>
      <sz val="16"/>
      <name val="Helv"/>
      <family val="2"/>
    </font>
    <font>
      <sz val="11"/>
      <color rgb="FF000000"/>
      <name val="Calibri"/>
      <family val="2"/>
      <scheme val="minor"/>
    </font>
    <font>
      <b/>
      <sz val="10"/>
      <name val="Arial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sz val="10"/>
      <color indexed="8"/>
      <name val="Tahoma"/>
      <family val="2"/>
    </font>
    <font>
      <i/>
      <sz val="8"/>
      <color theme="0" tint="-0.34998626667073579"/>
      <name val="Tahoma"/>
      <family val="2"/>
    </font>
    <font>
      <b/>
      <sz val="11"/>
      <color rgb="FF003C69"/>
      <name val="Tahoma"/>
      <family val="2"/>
    </font>
    <font>
      <b/>
      <sz val="11"/>
      <color rgb="FF6699CC"/>
      <name val="Tahoma"/>
      <family val="2"/>
    </font>
    <font>
      <sz val="18"/>
      <color rgb="FF7AB800"/>
      <name val="Tahoma"/>
      <family val="2"/>
    </font>
    <font>
      <sz val="18"/>
      <color theme="0"/>
      <name val="Tahoma"/>
      <family val="2"/>
    </font>
    <font>
      <b/>
      <sz val="12"/>
      <color indexed="16"/>
      <name val="MS Sans Serif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sz val="11"/>
      <name val="ＭＳ Ｐゴシック"/>
      <charset val="128"/>
    </font>
    <font>
      <b/>
      <sz val="11"/>
      <color theme="1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55"/>
        <bgColor indexed="64"/>
      </patternFill>
    </fill>
    <fill>
      <patternFill patternType="solid">
        <fgColor rgb="FFDFEAF4"/>
        <bgColor indexed="64"/>
      </patternFill>
    </fill>
    <fill>
      <patternFill patternType="solid">
        <fgColor rgb="FFDEF6FE"/>
        <bgColor indexed="64"/>
      </patternFill>
    </fill>
    <fill>
      <patternFill patternType="solid">
        <fgColor indexed="9"/>
        <bgColor indexed="64"/>
      </patternFill>
    </fill>
    <fill>
      <patternFill patternType="gray125">
        <fgColor rgb="FFC0C0C0"/>
        <bgColor theme="0"/>
      </patternFill>
    </fill>
    <fill>
      <patternFill patternType="solid">
        <fgColor rgb="FF6699CC"/>
        <bgColor indexed="64"/>
      </patternFill>
    </fill>
    <fill>
      <patternFill patternType="solid">
        <fgColor indexed="8"/>
      </patternFill>
    </fill>
    <fill>
      <patternFill patternType="solid">
        <fgColor rgb="FF4F81BD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rgb="FF969696"/>
        <bgColor indexed="64"/>
      </patternFill>
    </fill>
    <fill>
      <patternFill patternType="solid">
        <fgColor rgb="FF969696"/>
        <bgColor rgb="FF000000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FFEE1"/>
        <bgColor indexed="64"/>
      </patternFill>
    </fill>
    <fill>
      <patternFill patternType="mediumGray">
        <fgColor rgb="FFC0C0C0"/>
        <bgColor theme="2" tint="0.79998168889431442"/>
      </patternFill>
    </fill>
    <fill>
      <patternFill patternType="mediumGray">
        <fgColor rgb="FFC0C0C0"/>
        <bgColor rgb="FFFFFFCC"/>
      </patternFill>
    </fill>
    <fill>
      <patternFill patternType="solid">
        <fgColor rgb="FFE7F7FF"/>
        <bgColor indexed="64"/>
      </patternFill>
    </fill>
    <fill>
      <patternFill patternType="solid">
        <fgColor rgb="FF003C69"/>
        <bgColor indexed="64"/>
      </patternFill>
    </fill>
    <fill>
      <patternFill patternType="mediumGray">
        <fgColor rgb="FFC0C0C0"/>
        <bgColor rgb="FFCCCCFF"/>
      </patternFill>
    </fill>
    <fill>
      <patternFill patternType="solid">
        <fgColor rgb="FFFFFFFF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63"/>
        <bgColor indexed="64"/>
      </patternFill>
    </fill>
  </fills>
  <borders count="5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/>
      <top/>
      <bottom/>
      <diagonal/>
    </border>
    <border>
      <left style="thin">
        <color indexed="55"/>
      </left>
      <right style="thin">
        <color indexed="55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/>
      <bottom style="thin">
        <color rgb="FFCC0033"/>
      </bottom>
      <diagonal/>
    </border>
    <border>
      <left/>
      <right/>
      <top/>
      <bottom style="hair">
        <color theme="0" tint="-0.34998626667073579"/>
      </bottom>
      <diagonal/>
    </border>
    <border>
      <left/>
      <right/>
      <top/>
      <bottom style="thick">
        <color theme="0" tint="-0.24994659260841701"/>
      </bottom>
      <diagonal/>
    </border>
    <border>
      <left/>
      <right/>
      <top/>
      <bottom style="thick">
        <color theme="0" tint="-0.34998626667073579"/>
      </bottom>
      <diagonal/>
    </border>
    <border>
      <left/>
      <right/>
      <top style="double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96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15" borderId="0"/>
    <xf numFmtId="43" fontId="2" fillId="0" borderId="0" applyFont="0" applyFill="0" applyBorder="0" applyAlignment="0" applyProtection="0"/>
    <xf numFmtId="0" fontId="2" fillId="15" borderId="0"/>
    <xf numFmtId="0" fontId="3" fillId="16" borderId="2" applyNumberFormat="0" applyBorder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172" fontId="5" fillId="19" borderId="2" applyNumberFormat="0" applyBorder="0" applyAlignment="0">
      <alignment horizontal="right"/>
    </xf>
    <xf numFmtId="0" fontId="6" fillId="20" borderId="5" applyNumberFormat="0" applyAlignment="0">
      <alignment horizontal="center" vertical="center"/>
    </xf>
    <xf numFmtId="166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0" fontId="7" fillId="0" borderId="0" applyFont="0" applyFill="0" applyBorder="0" applyAlignment="0" applyProtection="0"/>
    <xf numFmtId="173" fontId="8" fillId="0" borderId="0" applyFont="0" applyFill="0" applyBorder="0" applyAlignment="0" applyProtection="0"/>
    <xf numFmtId="174" fontId="2" fillId="0" borderId="0" applyFont="0" applyFill="0" applyBorder="0" applyAlignment="0" applyProtection="0"/>
    <xf numFmtId="175" fontId="2" fillId="0" borderId="0" applyFont="0" applyFill="0" applyBorder="0" applyAlignment="0" applyProtection="0"/>
    <xf numFmtId="0" fontId="9" fillId="0" borderId="0"/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" fontId="10" fillId="0" borderId="0"/>
    <xf numFmtId="0" fontId="11" fillId="21" borderId="0" applyAlignment="0"/>
    <xf numFmtId="0" fontId="12" fillId="22" borderId="0"/>
    <xf numFmtId="0" fontId="13" fillId="0" borderId="0" applyNumberFormat="0" applyFill="0" applyBorder="0" applyAlignment="0" applyProtection="0"/>
    <xf numFmtId="0" fontId="7" fillId="0" borderId="6" applyNumberFormat="0" applyFont="0" applyFill="0" applyAlignment="0" applyProtection="0"/>
    <xf numFmtId="0" fontId="7" fillId="0" borderId="7" applyNumberFormat="0" applyFont="0" applyFill="0" applyAlignment="0" applyProtection="0"/>
    <xf numFmtId="0" fontId="7" fillId="0" borderId="8" applyNumberFormat="0" applyFont="0" applyFill="0" applyAlignment="0" applyProtection="0"/>
    <xf numFmtId="0" fontId="7" fillId="0" borderId="9" applyNumberFormat="0" applyFont="0" applyFill="0" applyAlignment="0" applyProtection="0"/>
    <xf numFmtId="176" fontId="8" fillId="0" borderId="0" applyFill="0" applyBorder="0" applyAlignment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0" fontId="14" fillId="0" borderId="0" applyNumberFormat="0" applyAlignment="0">
      <alignment horizontal="left"/>
    </xf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15" fillId="0" borderId="0" applyNumberFormat="0" applyAlignment="0">
      <alignment horizontal="left"/>
    </xf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0" fontId="16" fillId="0" borderId="0">
      <alignment horizontal="left"/>
    </xf>
    <xf numFmtId="38" fontId="17" fillId="23" borderId="0" applyNumberFormat="0" applyBorder="0" applyAlignment="0" applyProtection="0"/>
    <xf numFmtId="0" fontId="18" fillId="0" borderId="10" applyNumberFormat="0" applyAlignment="0" applyProtection="0">
      <alignment horizontal="left" vertical="center"/>
    </xf>
    <xf numFmtId="0" fontId="18" fillId="0" borderId="11">
      <alignment horizontal="left" vertical="center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22" fillId="24" borderId="0" applyNumberFormat="0" applyBorder="0">
      <alignment horizontal="right" vertical="center"/>
    </xf>
    <xf numFmtId="19" fontId="22" fillId="24" borderId="12" applyNumberFormat="0" applyBorder="0">
      <alignment horizontal="left" vertical="center"/>
    </xf>
    <xf numFmtId="2" fontId="23" fillId="25" borderId="0">
      <alignment horizontal="center" vertical="center"/>
    </xf>
    <xf numFmtId="2" fontId="23" fillId="25" borderId="13" applyBorder="0">
      <alignment horizontal="left" vertical="center"/>
    </xf>
    <xf numFmtId="0" fontId="22" fillId="24" borderId="0">
      <alignment horizontal="right" vertical="center"/>
    </xf>
    <xf numFmtId="19" fontId="24" fillId="24" borderId="14" applyNumberFormat="0" applyBorder="0">
      <alignment horizontal="left" vertical="center" indent="1"/>
    </xf>
    <xf numFmtId="2" fontId="25" fillId="25" borderId="7" applyBorder="0">
      <alignment horizontal="left" vertical="center" indent="1"/>
    </xf>
    <xf numFmtId="2" fontId="25" fillId="25" borderId="15" applyBorder="0">
      <alignment horizontal="center" vertical="center"/>
    </xf>
    <xf numFmtId="2" fontId="2" fillId="26" borderId="16" applyBorder="0">
      <alignment horizontal="left" vertical="center" indent="1"/>
    </xf>
    <xf numFmtId="0" fontId="2" fillId="26" borderId="0">
      <alignment horizontal="right" vertical="center"/>
    </xf>
    <xf numFmtId="2" fontId="2" fillId="26" borderId="12" applyNumberFormat="0" applyBorder="0">
      <alignment horizontal="right" vertical="center"/>
    </xf>
    <xf numFmtId="2" fontId="26" fillId="27" borderId="14" applyBorder="0">
      <alignment horizontal="left" vertical="center" indent="1"/>
    </xf>
    <xf numFmtId="2" fontId="26" fillId="27" borderId="0">
      <alignment horizontal="right" vertical="center"/>
    </xf>
    <xf numFmtId="2" fontId="26" fillId="27" borderId="13" applyBorder="0">
      <alignment horizontal="left" vertical="center"/>
    </xf>
    <xf numFmtId="2" fontId="26" fillId="27" borderId="17" applyBorder="0">
      <alignment horizontal="center" vertical="center"/>
    </xf>
    <xf numFmtId="19" fontId="24" fillId="28" borderId="18" applyNumberFormat="0" applyBorder="0">
      <alignment horizontal="left" vertical="center"/>
    </xf>
    <xf numFmtId="15" fontId="24" fillId="28" borderId="15" applyNumberFormat="0" applyBorder="0">
      <alignment horizontal="right" vertical="center"/>
    </xf>
    <xf numFmtId="15" fontId="24" fillId="28" borderId="15" applyNumberFormat="0" applyBorder="0">
      <alignment horizontal="right" vertical="center"/>
    </xf>
    <xf numFmtId="15" fontId="24" fillId="28" borderId="15" applyNumberFormat="0" applyBorder="0">
      <alignment horizontal="right" vertical="center"/>
    </xf>
    <xf numFmtId="15" fontId="24" fillId="28" borderId="15" applyNumberFormat="0" applyBorder="0">
      <alignment horizontal="right" vertical="center"/>
    </xf>
    <xf numFmtId="19" fontId="24" fillId="28" borderId="19" applyNumberFormat="0" applyBorder="0">
      <alignment horizontal="right" vertical="center"/>
    </xf>
    <xf numFmtId="2" fontId="25" fillId="29" borderId="20" applyBorder="0">
      <alignment horizontal="left" vertical="center" indent="1"/>
    </xf>
    <xf numFmtId="2" fontId="25" fillId="29" borderId="13" applyNumberFormat="0">
      <alignment horizontal="center" vertical="center"/>
    </xf>
    <xf numFmtId="2" fontId="25" fillId="29" borderId="13" applyNumberFormat="0" applyBorder="0">
      <alignment horizontal="left" vertical="center"/>
    </xf>
    <xf numFmtId="2" fontId="2" fillId="30" borderId="19" applyNumberFormat="0" applyBorder="0">
      <alignment horizontal="right" vertical="center"/>
    </xf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178" fontId="27" fillId="0" borderId="0"/>
    <xf numFmtId="0" fontId="1" fillId="31" borderId="0"/>
    <xf numFmtId="0" fontId="2" fillId="15" borderId="0"/>
    <xf numFmtId="0" fontId="1" fillId="31" borderId="0"/>
    <xf numFmtId="0" fontId="28" fillId="32" borderId="0"/>
    <xf numFmtId="0" fontId="1" fillId="0" borderId="0"/>
    <xf numFmtId="0" fontId="2" fillId="0" borderId="0" applyBorder="0"/>
    <xf numFmtId="0" fontId="1" fillId="0" borderId="0"/>
    <xf numFmtId="0" fontId="1" fillId="0" borderId="0"/>
    <xf numFmtId="0" fontId="1" fillId="0" borderId="0"/>
    <xf numFmtId="0" fontId="2" fillId="15" borderId="0"/>
    <xf numFmtId="0" fontId="2" fillId="15" borderId="0"/>
    <xf numFmtId="0" fontId="2" fillId="15" borderId="0"/>
    <xf numFmtId="0" fontId="2" fillId="15" borderId="0"/>
    <xf numFmtId="0" fontId="2" fillId="15" borderId="0"/>
    <xf numFmtId="0" fontId="2" fillId="15" borderId="0"/>
    <xf numFmtId="0" fontId="28" fillId="0" borderId="0"/>
    <xf numFmtId="0" fontId="2" fillId="15" borderId="0"/>
    <xf numFmtId="0" fontId="28" fillId="32" borderId="0"/>
    <xf numFmtId="0" fontId="1" fillId="31" borderId="0"/>
    <xf numFmtId="0" fontId="1" fillId="31" borderId="0"/>
    <xf numFmtId="0" fontId="1" fillId="31" borderId="0"/>
    <xf numFmtId="0" fontId="1" fillId="31" borderId="0"/>
    <xf numFmtId="0" fontId="2" fillId="15" borderId="0"/>
    <xf numFmtId="0" fontId="2" fillId="15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Border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29" fillId="33" borderId="21" applyNumberFormat="0" applyBorder="0">
      <alignment horizontal="left" vertical="center"/>
    </xf>
    <xf numFmtId="2" fontId="29" fillId="33" borderId="13" applyNumberFormat="0" applyBorder="0">
      <alignment horizontal="left" vertical="center"/>
    </xf>
    <xf numFmtId="2" fontId="26" fillId="27" borderId="22" applyNumberFormat="0" applyBorder="0">
      <alignment horizontal="left" vertical="center"/>
    </xf>
    <xf numFmtId="2" fontId="26" fillId="27" borderId="13" applyNumberFormat="0" applyBorder="0">
      <alignment horizontal="left" vertical="center"/>
    </xf>
    <xf numFmtId="19" fontId="2" fillId="34" borderId="23" applyNumberFormat="0" applyBorder="0">
      <alignment horizontal="left" vertical="center" indent="1"/>
    </xf>
    <xf numFmtId="0" fontId="2" fillId="34" borderId="0">
      <alignment horizontal="right" vertical="center"/>
    </xf>
    <xf numFmtId="19" fontId="2" fillId="34" borderId="19" applyNumberFormat="0" applyBorder="0">
      <alignment horizontal="right" vertical="center"/>
    </xf>
    <xf numFmtId="2" fontId="30" fillId="35" borderId="7" applyBorder="0">
      <alignment horizontal="left" vertical="center" indent="1"/>
    </xf>
    <xf numFmtId="2" fontId="30" fillId="35" borderId="0">
      <alignment horizontal="center" vertical="center"/>
    </xf>
    <xf numFmtId="2" fontId="30" fillId="35" borderId="24">
      <alignment horizontal="left" vertical="center"/>
    </xf>
    <xf numFmtId="0" fontId="31" fillId="36" borderId="17">
      <alignment horizontal="center"/>
    </xf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170" fontId="32" fillId="37" borderId="0" applyNumberFormat="0" applyBorder="0">
      <alignment horizontal="right" vertical="center"/>
    </xf>
    <xf numFmtId="170" fontId="32" fillId="37" borderId="0" applyNumberFormat="0" applyBorder="0">
      <alignment horizontal="right" vertical="center"/>
    </xf>
    <xf numFmtId="0" fontId="33" fillId="38" borderId="17" applyNumberFormat="0">
      <alignment horizontal="center" vertical="center"/>
    </xf>
    <xf numFmtId="0" fontId="33" fillId="38" borderId="0" applyNumberFormat="0" applyBorder="0">
      <alignment horizontal="left" vertical="center" indent="1"/>
    </xf>
    <xf numFmtId="0" fontId="3" fillId="18" borderId="25" applyNumberFormat="0" applyBorder="0" applyAlignment="0">
      <alignment horizontal="center"/>
    </xf>
    <xf numFmtId="0" fontId="3" fillId="39" borderId="25" applyNumberFormat="0" applyBorder="0" applyAlignment="0">
      <alignment horizontal="center"/>
    </xf>
    <xf numFmtId="0" fontId="3" fillId="40" borderId="2" applyNumberFormat="0" applyBorder="0"/>
    <xf numFmtId="0" fontId="3" fillId="16" borderId="2" applyNumberFormat="0" applyBorder="0"/>
    <xf numFmtId="0" fontId="3" fillId="41" borderId="3" applyNumberFormat="0" applyBorder="0" applyAlignment="0"/>
    <xf numFmtId="0" fontId="3" fillId="42" borderId="3" applyNumberFormat="0" applyBorder="0" applyAlignment="0"/>
    <xf numFmtId="0" fontId="3" fillId="41" borderId="3" applyNumberFormat="0" applyBorder="0" applyAlignment="0"/>
    <xf numFmtId="172" fontId="5" fillId="19" borderId="2" applyNumberFormat="0" applyBorder="0" applyAlignment="0">
      <alignment horizontal="right"/>
    </xf>
    <xf numFmtId="172" fontId="5" fillId="19" borderId="2" applyNumberFormat="0" applyBorder="0" applyAlignment="0">
      <alignment horizontal="right"/>
    </xf>
    <xf numFmtId="179" fontId="3" fillId="43" borderId="4" applyNumberFormat="0" applyBorder="0" applyAlignment="0"/>
    <xf numFmtId="179" fontId="3" fillId="17" borderId="4" applyNumberFormat="0" applyBorder="0" applyAlignment="0"/>
    <xf numFmtId="0" fontId="6" fillId="44" borderId="5" applyNumberFormat="0" applyAlignment="0">
      <alignment horizontal="center" vertical="center"/>
    </xf>
    <xf numFmtId="179" fontId="34" fillId="45" borderId="26" applyNumberFormat="0" applyBorder="0" applyAlignment="0">
      <alignment horizontal="right"/>
    </xf>
    <xf numFmtId="0" fontId="35" fillId="46" borderId="27">
      <alignment horizontal="right"/>
    </xf>
    <xf numFmtId="0" fontId="36" fillId="18" borderId="28"/>
    <xf numFmtId="0" fontId="37" fillId="46" borderId="27"/>
    <xf numFmtId="0" fontId="38" fillId="44" borderId="29">
      <alignment vertical="center"/>
    </xf>
    <xf numFmtId="0" fontId="39" fillId="20" borderId="30">
      <alignment horizontal="right" vertical="center"/>
    </xf>
    <xf numFmtId="180" fontId="40" fillId="47" borderId="0">
      <alignment horizontal="center" vertical="center"/>
    </xf>
    <xf numFmtId="181" fontId="41" fillId="48" borderId="0">
      <alignment horizontal="center" vertical="center"/>
      <protection locked="0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2" fontId="42" fillId="49" borderId="21" applyNumberFormat="0" applyFill="0" applyBorder="0" applyAlignment="0">
      <alignment horizontal="center"/>
      <protection locked="0"/>
    </xf>
    <xf numFmtId="2" fontId="2" fillId="50" borderId="13" applyNumberFormat="0" applyBorder="0">
      <alignment horizontal="right" vertical="center"/>
    </xf>
    <xf numFmtId="2" fontId="2" fillId="50" borderId="0">
      <alignment horizontal="right" vertical="center"/>
    </xf>
    <xf numFmtId="2" fontId="26" fillId="51" borderId="17">
      <alignment horizontal="center" vertical="center"/>
    </xf>
    <xf numFmtId="2" fontId="26" fillId="51" borderId="0" applyNumberFormat="0" applyBorder="0">
      <alignment horizontal="left" vertical="center"/>
    </xf>
    <xf numFmtId="2" fontId="26" fillId="51" borderId="17">
      <alignment horizontal="center" vertical="center"/>
    </xf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38" fontId="43" fillId="0" borderId="0" applyFont="0" applyFill="0" applyBorder="0" applyAlignment="0" applyProtection="0"/>
    <xf numFmtId="0" fontId="43" fillId="0" borderId="0"/>
  </cellStyleXfs>
  <cellXfs count="72">
    <xf numFmtId="0" fontId="0" fillId="0" borderId="0" xfId="0"/>
    <xf numFmtId="10" fontId="0" fillId="0" borderId="0" xfId="0" applyNumberFormat="1"/>
    <xf numFmtId="9" fontId="0" fillId="0" borderId="0" xfId="0" applyNumberFormat="1"/>
    <xf numFmtId="164" fontId="0" fillId="0" borderId="0" xfId="0" applyNumberFormat="1"/>
    <xf numFmtId="165" fontId="0" fillId="0" borderId="0" xfId="0" applyNumberFormat="1"/>
    <xf numFmtId="10" fontId="0" fillId="0" borderId="0" xfId="1" applyNumberFormat="1" applyFont="1"/>
    <xf numFmtId="182" fontId="0" fillId="0" borderId="0" xfId="2" applyNumberFormat="1" applyFont="1"/>
    <xf numFmtId="2" fontId="0" fillId="0" borderId="0" xfId="0" applyNumberFormat="1"/>
    <xf numFmtId="183" fontId="0" fillId="0" borderId="0" xfId="0" applyNumberFormat="1"/>
    <xf numFmtId="184" fontId="44" fillId="0" borderId="0" xfId="0" applyNumberFormat="1" applyFont="1"/>
    <xf numFmtId="184" fontId="0" fillId="0" borderId="0" xfId="0" applyNumberFormat="1"/>
    <xf numFmtId="185" fontId="0" fillId="0" borderId="0" xfId="0" applyNumberFormat="1"/>
    <xf numFmtId="169" fontId="0" fillId="0" borderId="0" xfId="0" applyNumberFormat="1"/>
    <xf numFmtId="186" fontId="0" fillId="0" borderId="0" xfId="2" applyNumberFormat="1" applyFont="1"/>
    <xf numFmtId="43" fontId="0" fillId="0" borderId="0" xfId="2" applyNumberFormat="1" applyFont="1"/>
    <xf numFmtId="187" fontId="0" fillId="0" borderId="0" xfId="0" applyNumberFormat="1"/>
    <xf numFmtId="182" fontId="44" fillId="0" borderId="0" xfId="2" applyNumberFormat="1" applyFont="1"/>
    <xf numFmtId="186" fontId="0" fillId="0" borderId="0" xfId="1" applyNumberFormat="1" applyFont="1"/>
    <xf numFmtId="43" fontId="0" fillId="0" borderId="0" xfId="0" applyNumberFormat="1"/>
    <xf numFmtId="171" fontId="0" fillId="0" borderId="0" xfId="0" applyNumberFormat="1"/>
    <xf numFmtId="188" fontId="0" fillId="0" borderId="0" xfId="2" applyNumberFormat="1" applyFont="1" applyBorder="1"/>
    <xf numFmtId="186" fontId="0" fillId="0" borderId="0" xfId="2" applyNumberFormat="1" applyFont="1" applyBorder="1"/>
    <xf numFmtId="2" fontId="0" fillId="0" borderId="0" xfId="1" applyNumberFormat="1" applyFont="1" applyBorder="1"/>
    <xf numFmtId="0" fontId="0" fillId="0" borderId="0" xfId="0" applyBorder="1"/>
    <xf numFmtId="10" fontId="0" fillId="0" borderId="0" xfId="1" applyNumberFormat="1" applyFont="1" applyBorder="1"/>
    <xf numFmtId="0" fontId="0" fillId="0" borderId="15" xfId="0" applyBorder="1"/>
    <xf numFmtId="0" fontId="0" fillId="0" borderId="32" xfId="0" applyBorder="1"/>
    <xf numFmtId="0" fontId="0" fillId="0" borderId="21" xfId="0" applyBorder="1"/>
    <xf numFmtId="0" fontId="0" fillId="0" borderId="33" xfId="0" applyBorder="1"/>
    <xf numFmtId="0" fontId="0" fillId="0" borderId="34" xfId="0" applyBorder="1"/>
    <xf numFmtId="10" fontId="0" fillId="0" borderId="23" xfId="1" applyNumberFormat="1" applyFont="1" applyBorder="1"/>
    <xf numFmtId="10" fontId="0" fillId="0" borderId="38" xfId="1" applyNumberFormat="1" applyFont="1" applyBorder="1"/>
    <xf numFmtId="9" fontId="0" fillId="0" borderId="23" xfId="1" applyFont="1" applyBorder="1"/>
    <xf numFmtId="9" fontId="0" fillId="0" borderId="38" xfId="1" applyFont="1" applyBorder="1"/>
    <xf numFmtId="0" fontId="0" fillId="0" borderId="23" xfId="0" applyBorder="1"/>
    <xf numFmtId="0" fontId="0" fillId="0" borderId="38" xfId="0" applyBorder="1"/>
    <xf numFmtId="9" fontId="0" fillId="0" borderId="0" xfId="1" applyFont="1"/>
    <xf numFmtId="0" fontId="0" fillId="0" borderId="22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9" xfId="0" applyBorder="1" applyAlignment="1">
      <alignment horizontal="center"/>
    </xf>
    <xf numFmtId="10" fontId="0" fillId="0" borderId="41" xfId="0" applyNumberFormat="1" applyBorder="1"/>
    <xf numFmtId="9" fontId="0" fillId="0" borderId="42" xfId="0" applyNumberFormat="1" applyBorder="1"/>
    <xf numFmtId="0" fontId="0" fillId="0" borderId="42" xfId="0" applyBorder="1"/>
    <xf numFmtId="0" fontId="0" fillId="0" borderId="43" xfId="0" applyBorder="1"/>
    <xf numFmtId="3" fontId="0" fillId="0" borderId="42" xfId="0" applyNumberFormat="1" applyBorder="1"/>
    <xf numFmtId="3" fontId="0" fillId="0" borderId="43" xfId="0" applyNumberFormat="1" applyBorder="1"/>
    <xf numFmtId="170" fontId="0" fillId="0" borderId="0" xfId="1" applyNumberFormat="1" applyFont="1"/>
    <xf numFmtId="0" fontId="0" fillId="0" borderId="44" xfId="0" applyBorder="1"/>
    <xf numFmtId="182" fontId="0" fillId="0" borderId="45" xfId="0" applyNumberFormat="1" applyBorder="1"/>
    <xf numFmtId="0" fontId="0" fillId="0" borderId="46" xfId="0" applyBorder="1"/>
    <xf numFmtId="182" fontId="0" fillId="0" borderId="47" xfId="0" applyNumberFormat="1" applyBorder="1"/>
    <xf numFmtId="0" fontId="0" fillId="0" borderId="21" xfId="0" applyFill="1" applyBorder="1"/>
    <xf numFmtId="1" fontId="0" fillId="0" borderId="42" xfId="0" applyNumberFormat="1" applyFill="1" applyBorder="1"/>
    <xf numFmtId="10" fontId="0" fillId="0" borderId="48" xfId="1" applyNumberFormat="1" applyFont="1" applyBorder="1"/>
    <xf numFmtId="9" fontId="0" fillId="0" borderId="37" xfId="1" applyFont="1" applyBorder="1"/>
    <xf numFmtId="0" fontId="0" fillId="0" borderId="41" xfId="0" applyBorder="1"/>
    <xf numFmtId="10" fontId="0" fillId="0" borderId="49" xfId="1" applyNumberFormat="1" applyFont="1" applyBorder="1"/>
    <xf numFmtId="10" fontId="0" fillId="0" borderId="50" xfId="1" applyNumberFormat="1" applyFont="1" applyBorder="1"/>
    <xf numFmtId="1" fontId="0" fillId="0" borderId="0" xfId="0" applyNumberFormat="1" applyBorder="1"/>
    <xf numFmtId="1" fontId="0" fillId="0" borderId="34" xfId="0" applyNumberFormat="1" applyBorder="1"/>
    <xf numFmtId="3" fontId="0" fillId="0" borderId="23" xfId="0" applyNumberFormat="1" applyBorder="1"/>
    <xf numFmtId="3" fontId="0" fillId="0" borderId="19" xfId="0" applyNumberFormat="1" applyBorder="1"/>
    <xf numFmtId="3" fontId="0" fillId="0" borderId="38" xfId="0" applyNumberFormat="1" applyBorder="1"/>
    <xf numFmtId="3" fontId="0" fillId="0" borderId="35" xfId="0" applyNumberFormat="1" applyBorder="1"/>
    <xf numFmtId="3" fontId="0" fillId="0" borderId="22" xfId="0" applyNumberFormat="1" applyBorder="1"/>
    <xf numFmtId="3" fontId="0" fillId="0" borderId="40" xfId="0" applyNumberFormat="1" applyBorder="1"/>
    <xf numFmtId="0" fontId="44" fillId="0" borderId="22" xfId="0" applyFont="1" applyBorder="1" applyAlignment="1">
      <alignment horizontal="center"/>
    </xf>
    <xf numFmtId="0" fontId="44" fillId="0" borderId="10" xfId="0" applyFont="1" applyBorder="1" applyAlignment="1">
      <alignment horizontal="center"/>
    </xf>
    <xf numFmtId="0" fontId="44" fillId="0" borderId="39" xfId="0" applyFont="1" applyBorder="1" applyAlignment="1">
      <alignment horizontal="center"/>
    </xf>
    <xf numFmtId="9" fontId="44" fillId="0" borderId="22" xfId="0" applyNumberFormat="1" applyFont="1" applyBorder="1" applyAlignment="1">
      <alignment horizontal="center"/>
    </xf>
    <xf numFmtId="9" fontId="44" fillId="0" borderId="39" xfId="0" applyNumberFormat="1" applyFont="1" applyBorder="1" applyAlignment="1">
      <alignment horizontal="center"/>
    </xf>
  </cellXfs>
  <cellStyles count="961">
    <cellStyle name="$" xfId="11" xr:uid="{3CE8790F-BA25-4554-83CD-EE121BD67DDA}"/>
    <cellStyle name="$ &amp; ¢" xfId="12" xr:uid="{4D5E41E1-A4B1-4152-8C97-633A9346FFA9}"/>
    <cellStyle name="%" xfId="13" xr:uid="{014FA260-8058-4D85-824E-BCF3A9E3C947}"/>
    <cellStyle name="%.00" xfId="14" xr:uid="{799BC619-72F4-4A52-AAA1-52DC081E847F}"/>
    <cellStyle name="?? [0.00]_PLDT" xfId="15" xr:uid="{76AFF397-E5FA-4767-BD67-10ECC3F0E46E}"/>
    <cellStyle name="???? [0.00]_PLDT" xfId="16" xr:uid="{33805939-2471-4C28-B084-12F138829CB6}"/>
    <cellStyle name="????_PLDT" xfId="17" xr:uid="{97F1EA54-DEBE-410E-9413-1BD2A061CF1F}"/>
    <cellStyle name="??_10-08" xfId="18" xr:uid="{079798D3-5A61-4E88-A3C7-E6070BED7307}"/>
    <cellStyle name="_Copy of Portfolios to Archeus 6-3-04 (2)" xfId="19" xr:uid="{C4430732-76A4-4522-89C8-E9D11FAC5AEC}"/>
    <cellStyle name="_Copy of Portfolios to Archeus 6-3-04 (2) 10" xfId="20" xr:uid="{A23D9001-1A86-4456-84F4-6502C2A12668}"/>
    <cellStyle name="_Copy of Portfolios to Archeus 6-3-04 (2) 10 10" xfId="21" xr:uid="{4A501FFE-A4BC-4B8C-B2B8-A4D286882C08}"/>
    <cellStyle name="_Copy of Portfolios to Archeus 6-3-04 (2) 10 11" xfId="22" xr:uid="{C3F28CB4-5C97-470C-862A-32AF169CD9B3}"/>
    <cellStyle name="_Copy of Portfolios to Archeus 6-3-04 (2) 10 12" xfId="23" xr:uid="{21FE56C2-266B-493D-ADB6-B629FCBBB435}"/>
    <cellStyle name="_Copy of Portfolios to Archeus 6-3-04 (2) 10 13" xfId="24" xr:uid="{85B70B35-5115-48E4-B597-A33D699F9FB3}"/>
    <cellStyle name="_Copy of Portfolios to Archeus 6-3-04 (2) 10 14" xfId="25" xr:uid="{465CF4ED-7B45-40EB-B721-611C090E95DF}"/>
    <cellStyle name="_Copy of Portfolios to Archeus 6-3-04 (2) 10 15" xfId="26" xr:uid="{58CAB82D-AD5B-4E70-AD10-1BA9089B58D6}"/>
    <cellStyle name="_Copy of Portfolios to Archeus 6-3-04 (2) 10 16" xfId="27" xr:uid="{10C9581A-840B-40FB-8069-0F804023D3BA}"/>
    <cellStyle name="_Copy of Portfolios to Archeus 6-3-04 (2) 10 17" xfId="28" xr:uid="{AB841326-8293-4BF1-884B-3F8BD75F30D1}"/>
    <cellStyle name="_Copy of Portfolios to Archeus 6-3-04 (2) 10 18" xfId="29" xr:uid="{847DAD7D-EC80-4A98-B3D4-95F9C3E2DDE1}"/>
    <cellStyle name="_Copy of Portfolios to Archeus 6-3-04 (2) 10 19" xfId="30" xr:uid="{B7E54334-FCB9-40F4-9375-EDE0E5C90ECB}"/>
    <cellStyle name="_Copy of Portfolios to Archeus 6-3-04 (2) 10 2" xfId="31" xr:uid="{30A46E59-6B28-4877-A40F-8A727F766B7E}"/>
    <cellStyle name="_Copy of Portfolios to Archeus 6-3-04 (2) 10 20" xfId="32" xr:uid="{F3A0676F-3102-43B0-8384-2B4542A04E34}"/>
    <cellStyle name="_Copy of Portfolios to Archeus 6-3-04 (2) 10 21" xfId="33" xr:uid="{E0CF1036-7048-4182-9B44-DF0400027B40}"/>
    <cellStyle name="_Copy of Portfolios to Archeus 6-3-04 (2) 10 22" xfId="34" xr:uid="{6CD7C153-8303-4332-9635-02865F62EEDA}"/>
    <cellStyle name="_Copy of Portfolios to Archeus 6-3-04 (2) 10 23" xfId="35" xr:uid="{8152F1DA-8983-44F3-AADC-FDCAA716D044}"/>
    <cellStyle name="_Copy of Portfolios to Archeus 6-3-04 (2) 10 24" xfId="36" xr:uid="{9238F5CD-5D58-4226-9A48-11992B6EF674}"/>
    <cellStyle name="_Copy of Portfolios to Archeus 6-3-04 (2) 10 25" xfId="37" xr:uid="{07E8F376-9EC9-4DD3-8799-FE583FACD97D}"/>
    <cellStyle name="_Copy of Portfolios to Archeus 6-3-04 (2) 10 26" xfId="38" xr:uid="{29ED0056-2052-4CF3-BAFD-2D5A4920E81E}"/>
    <cellStyle name="_Copy of Portfolios to Archeus 6-3-04 (2) 10 3" xfId="39" xr:uid="{83DED408-76C9-4182-8C0F-88F3BDBCE95A}"/>
    <cellStyle name="_Copy of Portfolios to Archeus 6-3-04 (2) 10 4" xfId="40" xr:uid="{21AEAEFE-DBEC-45C2-AB76-573D2C93E92A}"/>
    <cellStyle name="_Copy of Portfolios to Archeus 6-3-04 (2) 10 5" xfId="41" xr:uid="{A1371957-3240-41BA-BC7B-61F40A0D99A9}"/>
    <cellStyle name="_Copy of Portfolios to Archeus 6-3-04 (2) 10 6" xfId="42" xr:uid="{08582DFE-CB87-46CF-9576-D0FF90AA697A}"/>
    <cellStyle name="_Copy of Portfolios to Archeus 6-3-04 (2) 10 7" xfId="43" xr:uid="{4229D43E-90F3-45E4-A3DC-7C19CF65932A}"/>
    <cellStyle name="_Copy of Portfolios to Archeus 6-3-04 (2) 10 8" xfId="44" xr:uid="{C4088116-1EA6-49D4-918B-50F515D7EA21}"/>
    <cellStyle name="_Copy of Portfolios to Archeus 6-3-04 (2) 10 9" xfId="45" xr:uid="{4581F300-AF48-418F-8838-49514522BC93}"/>
    <cellStyle name="_Copy of Portfolios to Archeus 6-3-04 (2) 11" xfId="46" xr:uid="{36828F4F-B60E-4743-8042-C45C78DA86D7}"/>
    <cellStyle name="_Copy of Portfolios to Archeus 6-3-04 (2) 11 2" xfId="47" xr:uid="{A676EA74-87E8-4831-A980-24F834E430B1}"/>
    <cellStyle name="_Copy of Portfolios to Archeus 6-3-04 (2) 11 3" xfId="48" xr:uid="{6FABB5DA-52F7-4574-BD85-1098F180F986}"/>
    <cellStyle name="_Copy of Portfolios to Archeus 6-3-04 (2) 11 4" xfId="49" xr:uid="{D0D2C777-6E16-4766-85FF-AC4246DFBE85}"/>
    <cellStyle name="_Copy of Portfolios to Archeus 6-3-04 (2) 11 5" xfId="50" xr:uid="{0B3C11E7-3301-4DA2-8491-81D23EA425DA}"/>
    <cellStyle name="_Copy of Portfolios to Archeus 6-3-04 (2) 11 6" xfId="51" xr:uid="{5097807D-7502-4669-8FC8-89BBEBAB978C}"/>
    <cellStyle name="_Copy of Portfolios to Archeus 6-3-04 (2) 11 7" xfId="52" xr:uid="{3222C657-D5B9-45C9-BEDE-F07AAA410092}"/>
    <cellStyle name="_Copy of Portfolios to Archeus 6-3-04 (2) 12" xfId="53" xr:uid="{0D13FAB9-EB6D-4A14-A6F4-5959ACF59AB6}"/>
    <cellStyle name="_Copy of Portfolios to Archeus 6-3-04 (2) 12 2" xfId="54" xr:uid="{4324AF23-A2EE-4C20-A8A1-FCE2E0668152}"/>
    <cellStyle name="_Copy of Portfolios to Archeus 6-3-04 (2) 12 2 2" xfId="55" xr:uid="{183DB836-9550-4C29-B4A7-E91093E174A6}"/>
    <cellStyle name="_Copy of Portfolios to Archeus 6-3-04 (2) 12 3" xfId="56" xr:uid="{A7222720-B17D-4A2C-BE88-4583C466D6A2}"/>
    <cellStyle name="_Copy of Portfolios to Archeus 6-3-04 (2) 12 3 2" xfId="57" xr:uid="{33AF8F6D-9416-4C1A-AF77-972721ED47EA}"/>
    <cellStyle name="_Copy of Portfolios to Archeus 6-3-04 (2) 12 4" xfId="58" xr:uid="{CB9023B1-DADF-4977-97FB-48EE8A9A45C6}"/>
    <cellStyle name="_Copy of Portfolios to Archeus 6-3-04 (2) 13" xfId="59" xr:uid="{413AAD11-0D75-4E63-AC53-8D8FC58A7EB9}"/>
    <cellStyle name="_Copy of Portfolios to Archeus 6-3-04 (2) 13 2" xfId="60" xr:uid="{4E31007D-9FAB-4E03-B6FD-5E9D08BA9910}"/>
    <cellStyle name="_Copy of Portfolios to Archeus 6-3-04 (2) 14" xfId="61" xr:uid="{2CAB37D8-5FD1-4D7B-B79C-12FFA0A621A2}"/>
    <cellStyle name="_Copy of Portfolios to Archeus 6-3-04 (2) 14 2" xfId="62" xr:uid="{376C4CD8-851B-4AF1-AF84-6C5D42DB5814}"/>
    <cellStyle name="_Copy of Portfolios to Archeus 6-3-04 (2) 15" xfId="63" xr:uid="{18642598-33A6-47CD-B179-6243A038833D}"/>
    <cellStyle name="_Copy of Portfolios to Archeus 6-3-04 (2) 15 2" xfId="64" xr:uid="{FE1DEDE7-C811-41FA-9697-4F0AF447FB3F}"/>
    <cellStyle name="_Copy of Portfolios to Archeus 6-3-04 (2) 16" xfId="65" xr:uid="{BF410B00-EF01-4ADF-98BF-A35C8B3E6114}"/>
    <cellStyle name="_Copy of Portfolios to Archeus 6-3-04 (2) 16 2" xfId="66" xr:uid="{D6752A52-5ED1-42A9-8F5F-6F0C0991B591}"/>
    <cellStyle name="_Copy of Portfolios to Archeus 6-3-04 (2) 17" xfId="67" xr:uid="{A9D18A7E-8FA4-4528-BE94-71DCCD710885}"/>
    <cellStyle name="_Copy of Portfolios to Archeus 6-3-04 (2) 17 2" xfId="68" xr:uid="{3479B2F7-B162-4C77-927F-8B8C6DD8DAA5}"/>
    <cellStyle name="_Copy of Portfolios to Archeus 6-3-04 (2) 18" xfId="69" xr:uid="{27FE58F0-C0AD-43D7-833A-1207E8A56A6E}"/>
    <cellStyle name="_Copy of Portfolios to Archeus 6-3-04 (2) 19" xfId="70" xr:uid="{A8043B5D-AC54-4245-8BDF-B975E1993924}"/>
    <cellStyle name="_Copy of Portfolios to Archeus 6-3-04 (2) 2" xfId="71" xr:uid="{CCD55CFA-4CF1-43BE-B7D3-DC1AF430F3F7}"/>
    <cellStyle name="_Copy of Portfolios to Archeus 6-3-04 (2) 2 2" xfId="72" xr:uid="{A00E9480-706C-46E3-8D67-762D30EC72E5}"/>
    <cellStyle name="_Copy of Portfolios to Archeus 6-3-04 (2) 2 2 2" xfId="73" xr:uid="{66302B8B-36E5-4DF5-B8EA-AE895A82A956}"/>
    <cellStyle name="_Copy of Portfolios to Archeus 6-3-04 (2) 2 3" xfId="74" xr:uid="{4BFF3A21-D56E-479C-9938-B6B85F848714}"/>
    <cellStyle name="_Copy of Portfolios to Archeus 6-3-04 (2) 2 3 2" xfId="75" xr:uid="{51E02DB3-0B58-44DF-8D2F-35FDE851F319}"/>
    <cellStyle name="_Copy of Portfolios to Archeus 6-3-04 (2) 2 4" xfId="76" xr:uid="{63B35D2E-D1A7-4341-9D61-3D5AD99F3BCF}"/>
    <cellStyle name="_Copy of Portfolios to Archeus 6-3-04 (2) 2 4 2" xfId="77" xr:uid="{4066979D-A224-48C0-99DF-F4463C8F6651}"/>
    <cellStyle name="_Copy of Portfolios to Archeus 6-3-04 (2) 2 5" xfId="78" xr:uid="{D42B062E-D7B2-4B2A-96AA-9E925FF6F8DA}"/>
    <cellStyle name="_Copy of Portfolios to Archeus 6-3-04 (2) 2 5 2" xfId="79" xr:uid="{26A0B884-B59D-4082-A5D7-0578E7402293}"/>
    <cellStyle name="_Copy of Portfolios to Archeus 6-3-04 (2) 2 6" xfId="80" xr:uid="{AE00464A-ADE9-4188-926F-2AFE5B9250DC}"/>
    <cellStyle name="_Copy of Portfolios to Archeus 6-3-04 (2) 2 6 2" xfId="81" xr:uid="{E233BA27-00E8-493D-85D9-B3B3E8417F96}"/>
    <cellStyle name="_Copy of Portfolios to Archeus 6-3-04 (2) 2 7" xfId="82" xr:uid="{19BE49A0-8371-485D-B42C-6B3BC3C256BB}"/>
    <cellStyle name="_Copy of Portfolios to Archeus 6-3-04 (2) 2_CDO Pricer (Bespoke Pricing using Base Correlations)" xfId="83" xr:uid="{6B90B6CA-17CE-410B-94DA-20F244AC3B5C}"/>
    <cellStyle name="_Copy of Portfolios to Archeus 6-3-04 (2) 2_CDO Pricer (Bespoke Pricing using Base Correlations) 2" xfId="84" xr:uid="{771FA2E5-5800-46E3-96C4-AFFBA5549082}"/>
    <cellStyle name="_Copy of Portfolios to Archeus 6-3-04 (2) 20" xfId="85" xr:uid="{26AD0851-E24C-4E66-B094-F5ADCD6E99B1}"/>
    <cellStyle name="_Copy of Portfolios to Archeus 6-3-04 (2) 21" xfId="86" xr:uid="{DBA0F89B-7B74-455B-9D38-B1B6C10D998B}"/>
    <cellStyle name="_Copy of Portfolios to Archeus 6-3-04 (2) 22" xfId="87" xr:uid="{8B3FC314-75BA-4C62-B44D-36045574ABED}"/>
    <cellStyle name="_Copy of Portfolios to Archeus 6-3-04 (2) 23" xfId="88" xr:uid="{264419E0-D58B-4409-9853-B103BB5C3A32}"/>
    <cellStyle name="_Copy of Portfolios to Archeus 6-3-04 (2) 24" xfId="89" xr:uid="{D036BE16-9A9A-4F26-8B5F-E0CC76A47180}"/>
    <cellStyle name="_Copy of Portfolios to Archeus 6-3-04 (2) 25" xfId="90" xr:uid="{DC85E03F-A8F6-46A7-A508-A561B45F2097}"/>
    <cellStyle name="_Copy of Portfolios to Archeus 6-3-04 (2) 26" xfId="91" xr:uid="{12487433-9058-4D3E-9BDD-D14E4FE2E79F}"/>
    <cellStyle name="_Copy of Portfolios to Archeus 6-3-04 (2) 27" xfId="92" xr:uid="{DAA02ADB-F88D-400C-993E-A0D674D7A35F}"/>
    <cellStyle name="_Copy of Portfolios to Archeus 6-3-04 (2) 28" xfId="93" xr:uid="{A0A67009-AF03-4F36-8006-607D2B2665AB}"/>
    <cellStyle name="_Copy of Portfolios to Archeus 6-3-04 (2) 29" xfId="94" xr:uid="{388E08CF-D0FD-4989-B3E2-22AD9A15B373}"/>
    <cellStyle name="_Copy of Portfolios to Archeus 6-3-04 (2) 3" xfId="95" xr:uid="{84B7A808-C09E-4241-B346-962FA413272F}"/>
    <cellStyle name="_Copy of Portfolios to Archeus 6-3-04 (2) 3 2" xfId="96" xr:uid="{D819AECD-61F1-4426-8378-E606AC415F9C}"/>
    <cellStyle name="_Copy of Portfolios to Archeus 6-3-04 (2) 30" xfId="97" xr:uid="{7C36178D-ADD6-4753-8EE1-5F0DAFFE5A85}"/>
    <cellStyle name="_Copy of Portfolios to Archeus 6-3-04 (2) 31" xfId="98" xr:uid="{9E2F387B-E770-4065-8DFB-E7B531EA0FBD}"/>
    <cellStyle name="_Copy of Portfolios to Archeus 6-3-04 (2) 31 2" xfId="99" xr:uid="{513384E2-D6AD-4F03-8EBB-24F74EE54062}"/>
    <cellStyle name="_Copy of Portfolios to Archeus 6-3-04 (2) 31 3" xfId="100" xr:uid="{1C5E58E1-6B2D-4FD1-B780-3B21C5F431F9}"/>
    <cellStyle name="_Copy of Portfolios to Archeus 6-3-04 (2) 31 4" xfId="101" xr:uid="{961BA076-3CBB-4094-B294-1EEB21ECB2E8}"/>
    <cellStyle name="_Copy of Portfolios to Archeus 6-3-04 (2) 32" xfId="102" xr:uid="{A441B7C7-B244-4F29-84B7-A8623CAC70B9}"/>
    <cellStyle name="_Copy of Portfolios to Archeus 6-3-04 (2) 32 2" xfId="103" xr:uid="{092BE0AA-A959-44F1-B8F9-78FC079C25B1}"/>
    <cellStyle name="_Copy of Portfolios to Archeus 6-3-04 (2) 32 3" xfId="104" xr:uid="{59165697-F6F2-4C57-B2D8-E25C366C53D8}"/>
    <cellStyle name="_Copy of Portfolios to Archeus 6-3-04 (2) 32 4" xfId="105" xr:uid="{CA677D13-CA50-48F0-8E44-C2B982B83D35}"/>
    <cellStyle name="_Copy of Portfolios to Archeus 6-3-04 (2) 33" xfId="106" xr:uid="{A9DC4199-D33F-478F-BC1E-4D879B56D1AF}"/>
    <cellStyle name="_Copy of Portfolios to Archeus 6-3-04 (2) 33 2" xfId="107" xr:uid="{1B1EE278-C2E9-4568-8CA6-7317AF94D327}"/>
    <cellStyle name="_Copy of Portfolios to Archeus 6-3-04 (2) 33 3" xfId="108" xr:uid="{E13CC098-0403-43A7-9C8E-9EC7F4D1E945}"/>
    <cellStyle name="_Copy of Portfolios to Archeus 6-3-04 (2) 34" xfId="109" xr:uid="{94098850-5133-4679-9F44-A53A2D5923EF}"/>
    <cellStyle name="_Copy of Portfolios to Archeus 6-3-04 (2) 34 2" xfId="110" xr:uid="{CF6CD840-11F3-4220-A9A8-3702CC6FB10F}"/>
    <cellStyle name="_Copy of Portfolios to Archeus 6-3-04 (2) 35" xfId="111" xr:uid="{212E99D8-6AF5-40AA-9E48-B41A37C3A7DA}"/>
    <cellStyle name="_Copy of Portfolios to Archeus 6-3-04 (2) 35 2" xfId="112" xr:uid="{633C221C-E0F4-4F96-84DC-10196BB8C222}"/>
    <cellStyle name="_Copy of Portfolios to Archeus 6-3-04 (2) 36" xfId="113" xr:uid="{B38FA38E-7FD5-442C-AE74-5C881582EA1E}"/>
    <cellStyle name="_Copy of Portfolios to Archeus 6-3-04 (2) 36 2" xfId="114" xr:uid="{D0E5CC48-69DF-4763-9223-847BD9CF9EA1}"/>
    <cellStyle name="_Copy of Portfolios to Archeus 6-3-04 (2) 37" xfId="115" xr:uid="{1F2A10DF-6168-4E94-81A8-7C2C090894C1}"/>
    <cellStyle name="_Copy of Portfolios to Archeus 6-3-04 (2) 38" xfId="116" xr:uid="{5489042E-63CE-4CD0-99EE-084B00B7DC73}"/>
    <cellStyle name="_Copy of Portfolios to Archeus 6-3-04 (2) 39" xfId="117" xr:uid="{DB28203A-D3CF-4987-867B-9DE886209288}"/>
    <cellStyle name="_Copy of Portfolios to Archeus 6-3-04 (2) 4" xfId="118" xr:uid="{973E153A-96D8-4EE0-A6C8-A57412C0C5DD}"/>
    <cellStyle name="_Copy of Portfolios to Archeus 6-3-04 (2) 4 2" xfId="119" xr:uid="{D991A256-009E-4D3D-B62D-A928969788CF}"/>
    <cellStyle name="_Copy of Portfolios to Archeus 6-3-04 (2) 4 2 2" xfId="120" xr:uid="{151BA2F4-B38A-439D-A6A1-129F1D66F6D7}"/>
    <cellStyle name="_Copy of Portfolios to Archeus 6-3-04 (2) 4 3" xfId="121" xr:uid="{C98715A4-8F42-4B6A-90EE-EEC9C222C577}"/>
    <cellStyle name="_Copy of Portfolios to Archeus 6-3-04 (2) 4_CDO Pricer (Bespoke Pricing using Base Correlations)" xfId="122" xr:uid="{1F0E6ED4-AE8C-42D5-BB0D-19C93B9C2DCD}"/>
    <cellStyle name="_Copy of Portfolios to Archeus 6-3-04 (2) 4_CDO Pricer (Bespoke Pricing using Base Correlations) 2" xfId="123" xr:uid="{4CF2AEEC-2DE2-47E8-9759-FDD36091E2A4}"/>
    <cellStyle name="_Copy of Portfolios to Archeus 6-3-04 (2) 4_CDO Pricer (Bespoke Pricing using Base Correlations) 2 2" xfId="124" xr:uid="{F073F36B-BD8A-4DE0-BA21-B003EBA82728}"/>
    <cellStyle name="_Copy of Portfolios to Archeus 6-3-04 (2) 4_CDO Pricer (Bespoke Pricing using Base Correlations) 3" xfId="125" xr:uid="{CF4FFB9C-E533-4448-8506-FFC385B948E7}"/>
    <cellStyle name="_Copy of Portfolios to Archeus 6-3-04 (2) 40" xfId="126" xr:uid="{8469A425-7880-44DC-9FB2-2E99AE55BE56}"/>
    <cellStyle name="_Copy of Portfolios to Archeus 6-3-04 (2) 41" xfId="127" xr:uid="{35D549E4-2BF3-4342-9772-331C219E6EA8}"/>
    <cellStyle name="_Copy of Portfolios to Archeus 6-3-04 (2) 42" xfId="128" xr:uid="{ECE62C9B-42FB-4D85-9F1D-69B71A39C044}"/>
    <cellStyle name="_Copy of Portfolios to Archeus 6-3-04 (2) 43" xfId="129" xr:uid="{1763951B-4002-4FE4-811E-6D651FEDA77A}"/>
    <cellStyle name="_Copy of Portfolios to Archeus 6-3-04 (2) 43 2" xfId="130" xr:uid="{4BEF90D6-1BCB-4FA2-9802-3FEEC9D50591}"/>
    <cellStyle name="_Copy of Portfolios to Archeus 6-3-04 (2) 44" xfId="131" xr:uid="{FDDB85C0-0A71-4579-BF4B-3AEE0C76D9F8}"/>
    <cellStyle name="_Copy of Portfolios to Archeus 6-3-04 (2) 45" xfId="132" xr:uid="{C2958D6B-823F-46B3-9B3A-F387C44D5C54}"/>
    <cellStyle name="_Copy of Portfolios to Archeus 6-3-04 (2) 46" xfId="133" xr:uid="{DCD5A1E0-2EA2-42A3-A04B-96836F7055BA}"/>
    <cellStyle name="_Copy of Portfolios to Archeus 6-3-04 (2) 5" xfId="134" xr:uid="{EC79F6E3-44D8-446C-91EC-7F549E35202D}"/>
    <cellStyle name="_Copy of Portfolios to Archeus 6-3-04 (2) 5 2" xfId="135" xr:uid="{860A91B9-03DB-47C9-916B-01350FEB0471}"/>
    <cellStyle name="_Copy of Portfolios to Archeus 6-3-04 (2) 6" xfId="136" xr:uid="{F5BDCCA2-AD1C-4708-A947-3533810BC157}"/>
    <cellStyle name="_Copy of Portfolios to Archeus 6-3-04 (2) 6 2" xfId="137" xr:uid="{96398E0E-E64C-41A7-BA72-91E341721C8A}"/>
    <cellStyle name="_Copy of Portfolios to Archeus 6-3-04 (2) 7" xfId="138" xr:uid="{3A7CBF52-7701-4960-93F5-94ACD137BD82}"/>
    <cellStyle name="_Copy of Portfolios to Archeus 6-3-04 (2) 7 2" xfId="139" xr:uid="{259618A9-47B6-416B-A61E-AB842801DABE}"/>
    <cellStyle name="_Copy of Portfolios to Archeus 6-3-04 (2) 8" xfId="140" xr:uid="{FA2E672C-5EA2-420B-910A-4A05CE97F99F}"/>
    <cellStyle name="_Copy of Portfolios to Archeus 6-3-04 (2) 8 2" xfId="141" xr:uid="{30EF4A76-02F5-4130-97CA-91F508EDD2B3}"/>
    <cellStyle name="_Copy of Portfolios to Archeus 6-3-04 (2) 9" xfId="142" xr:uid="{B377A4A4-0DBD-48A0-AF34-C521CF882D06}"/>
    <cellStyle name="_Copy of Portfolios to Archeus 6-3-04 (2) 9 2" xfId="143" xr:uid="{E5FCE113-E8B1-4142-9B29-E44A6A43EEFD}"/>
    <cellStyle name="_Copy of Portfolios to Archeus 6-3-04 (2) 9 2 2" xfId="144" xr:uid="{99E4C60B-5E09-4375-B039-5C2937256B55}"/>
    <cellStyle name="_Copy of Portfolios to Archeus 6-3-04 (2) 9 3" xfId="145" xr:uid="{BD877053-2F74-47D4-98E9-0E2C16087D28}"/>
    <cellStyle name="_Copy of Portfolios to Archeus 6-3-04 (2) 9 3 2" xfId="146" xr:uid="{1062F4CA-6744-4BE3-8E8B-FA5024D5B189}"/>
    <cellStyle name="_Copy of Portfolios to Archeus 6-3-04 (2) 9 4" xfId="147" xr:uid="{52BD132E-6B86-4506-8319-11DDD7486AA3}"/>
    <cellStyle name="_Copy of Portfolios to Archeus 6-3-04 (2) 9 4 2" xfId="148" xr:uid="{EE0CAC44-F231-4947-8770-6E89AD932AA7}"/>
    <cellStyle name="_Copy of Portfolios to Archeus 6-3-04 (2) 9 5" xfId="149" xr:uid="{8FEED999-E7FF-4A3F-B064-3472F5EBF48B}"/>
    <cellStyle name="20% - Accent1 2" xfId="150" xr:uid="{44985457-0CEF-4D47-874C-273B7D0A6B8F}"/>
    <cellStyle name="20% - Accent1 2 2" xfId="151" xr:uid="{F2C7E4E0-6AE4-4EB1-B038-B5754C0556CF}"/>
    <cellStyle name="20% - Accent1 3" xfId="152" xr:uid="{661F823C-7560-4299-99FA-4E17DB4CE4A5}"/>
    <cellStyle name="20% - Accent2 2" xfId="153" xr:uid="{7148D98D-218F-4519-80FC-851046EE6CFD}"/>
    <cellStyle name="20% - Accent2 2 2" xfId="154" xr:uid="{2AEBCB39-DB4E-41BF-B97C-11DFE031F038}"/>
    <cellStyle name="20% - Accent2 3" xfId="155" xr:uid="{F1FAC4EB-B3FA-4133-83A8-76EF19549FAF}"/>
    <cellStyle name="20% - Accent3 2" xfId="156" xr:uid="{ED1C7702-D552-4EF3-8AAD-50D5347BFB59}"/>
    <cellStyle name="20% - Accent3 2 2" xfId="157" xr:uid="{94BCDC2B-2D01-4050-8894-1ED096845A21}"/>
    <cellStyle name="20% - Accent3 3" xfId="158" xr:uid="{DB473B84-33B6-4804-BF49-CC2587666480}"/>
    <cellStyle name="20% - Accent4 2" xfId="159" xr:uid="{41CF0907-EBC0-4A3F-A06F-1BA6D84A39CA}"/>
    <cellStyle name="20% - Accent4 2 2" xfId="160" xr:uid="{5B6006B5-1E2A-47CF-9686-3FC01F4B6D9F}"/>
    <cellStyle name="20% - Accent4 3" xfId="161" xr:uid="{2A7BE65C-DFE7-42DC-9BED-24D06C6237A4}"/>
    <cellStyle name="20% - Accent5 2" xfId="162" xr:uid="{C087F433-E75C-4AF8-9F57-C722FF26702F}"/>
    <cellStyle name="20% - Accent5 2 2" xfId="163" xr:uid="{6FF5DAD8-5EE3-4DCB-B111-735B12B4F6FB}"/>
    <cellStyle name="20% - Accent5 3" xfId="164" xr:uid="{E4B0E8A5-29B8-473E-8F81-9700A92D66DC}"/>
    <cellStyle name="20% - Accent6 2" xfId="165" xr:uid="{DF93C90F-BCAB-4093-977F-E079110426DD}"/>
    <cellStyle name="20% - Accent6 2 2" xfId="166" xr:uid="{54CEDA56-E63D-474C-9552-8E3CC39A4B3E}"/>
    <cellStyle name="20% - Accent6 3" xfId="167" xr:uid="{E91C80B2-D95A-44CB-90AC-CA97FF4EE2AF}"/>
    <cellStyle name="40% - Accent1 2" xfId="168" xr:uid="{42ABD7F1-B8F8-4315-A4BE-9E7FBCA2BAE1}"/>
    <cellStyle name="40% - Accent1 2 2" xfId="169" xr:uid="{BBC684C5-1E3D-4CDC-A5EB-9120EF6D55E9}"/>
    <cellStyle name="40% - Accent1 3" xfId="170" xr:uid="{23E391E5-0118-4A3E-B13C-E8911BB3B477}"/>
    <cellStyle name="40% - Accent2 2" xfId="171" xr:uid="{9BB949B8-6395-48B8-8BF4-1B6BFC2856D5}"/>
    <cellStyle name="40% - Accent2 2 2" xfId="172" xr:uid="{DD025136-B77D-4FB4-91C8-FE4C04C2BA35}"/>
    <cellStyle name="40% - Accent2 3" xfId="173" xr:uid="{3E7D57B0-EF76-4C52-AD95-30C066D65CA9}"/>
    <cellStyle name="40% - Accent3 2" xfId="174" xr:uid="{2EBEBB82-A7A1-4982-A3CC-6679272653ED}"/>
    <cellStyle name="40% - Accent3 2 2" xfId="175" xr:uid="{29757AB5-B439-4E04-9C88-CB841B483855}"/>
    <cellStyle name="40% - Accent3 3" xfId="176" xr:uid="{BC7D88D2-0285-4AE2-BCFF-F0AA98948B68}"/>
    <cellStyle name="40% - Accent4 2" xfId="177" xr:uid="{8CB63480-8240-483F-ABA0-475031854DF4}"/>
    <cellStyle name="40% - Accent4 2 2" xfId="178" xr:uid="{5077D94C-DB7A-4791-9990-F38E003845ED}"/>
    <cellStyle name="40% - Accent4 3" xfId="179" xr:uid="{136570C2-36BA-4B16-AE50-82129F97C16B}"/>
    <cellStyle name="40% - Accent5 2" xfId="180" xr:uid="{25FB3B53-8D51-4020-A7C9-C3F21F97580E}"/>
    <cellStyle name="40% - Accent5 2 2" xfId="181" xr:uid="{1D8438AF-BC8B-43F6-B191-A651BE0F1A77}"/>
    <cellStyle name="40% - Accent5 3" xfId="182" xr:uid="{42F5DC9D-34A0-450A-8634-5547AB33DB44}"/>
    <cellStyle name="40% - Accent6 2" xfId="183" xr:uid="{E6D6B878-AB12-4A19-94BA-614BAC989AC6}"/>
    <cellStyle name="40% - Accent6 2 2" xfId="184" xr:uid="{16755E3B-D41C-42FE-BD65-25C32B7D4B21}"/>
    <cellStyle name="40% - Accent6 3" xfId="185" xr:uid="{610E1CFB-AAB2-40AB-8F89-BEA26354FC06}"/>
    <cellStyle name="adam" xfId="186" xr:uid="{215B383E-8140-4FF0-B0C8-0F971B8C51EE}"/>
    <cellStyle name="back" xfId="187" xr:uid="{55B9D455-234F-48C4-B782-A279D063ED31}"/>
    <cellStyle name="blp_column_header" xfId="188" xr:uid="{93923ADD-52C8-4924-B987-AB59A093C206}"/>
    <cellStyle name="Body" xfId="189" xr:uid="{F8457BCD-23DA-41B0-BB93-7DA3E0D65E94}"/>
    <cellStyle name="Border, Bottom" xfId="190" xr:uid="{9667663A-F651-4D3A-98AD-23819C2975C8}"/>
    <cellStyle name="Border, Left" xfId="191" xr:uid="{917FF2CB-8BF1-4F13-BB8F-E3FF82009962}"/>
    <cellStyle name="Border, Right" xfId="192" xr:uid="{0831B0B7-04A6-45BA-BC7B-5D2413B09E4E}"/>
    <cellStyle name="Border, Top" xfId="193" xr:uid="{0BB33D04-A2D4-4DF3-B9FF-D9704B0A1735}"/>
    <cellStyle name="Calc Currency (0)" xfId="194" xr:uid="{14744B5B-571B-415B-8E7E-62A10C59B3A1}"/>
    <cellStyle name="Comma" xfId="2" builtinId="3"/>
    <cellStyle name="Comma 10" xfId="195" xr:uid="{9CE3BB66-7CE2-45A8-BE9B-E4B6C92546D5}"/>
    <cellStyle name="Comma 12" xfId="196" xr:uid="{0DD7F0AC-FF18-41F3-B71A-8E7F5946BD84}"/>
    <cellStyle name="Comma 12 2" xfId="197" xr:uid="{53C5DE92-E3A2-439E-B980-F2F600AAE042}"/>
    <cellStyle name="Comma 2" xfId="198" xr:uid="{77593151-307F-448F-9233-1E889464A260}"/>
    <cellStyle name="Comma 2 2" xfId="199" xr:uid="{9AE69E03-E819-4068-BAA4-2CCB3AD3570A}"/>
    <cellStyle name="Comma 2 2 2" xfId="200" xr:uid="{F87E6B8D-20D4-4D2D-B00C-25E3EA24F0BC}"/>
    <cellStyle name="Comma 2 2 2 2" xfId="201" xr:uid="{6178C7A5-D6F4-4261-A064-42B4D607C1A2}"/>
    <cellStyle name="Comma 2 2 3" xfId="202" xr:uid="{FA6DF97A-E960-46C9-8607-B27CC7840835}"/>
    <cellStyle name="Comma 2 3" xfId="203" xr:uid="{9C58395A-FDCA-4B5B-ABE0-2B46C021E668}"/>
    <cellStyle name="Comma 2 4" xfId="204" xr:uid="{E6E8D3C5-F3FF-4A26-89B2-D499B379568E}"/>
    <cellStyle name="Comma 3" xfId="205" xr:uid="{6300AAAA-8C28-46F1-8DD9-BE953F85DCB7}"/>
    <cellStyle name="Comma 3 2" xfId="206" xr:uid="{893FDA68-1048-4EDE-8941-8C3A72829521}"/>
    <cellStyle name="Comma 3 2 2" xfId="207" xr:uid="{D41A7065-4625-4A3B-92DB-A253A1D41851}"/>
    <cellStyle name="Comma 3 3" xfId="208" xr:uid="{5E39447E-85C4-4C06-A9EA-87E5A52BCE8C}"/>
    <cellStyle name="Comma 4" xfId="209" xr:uid="{C95A40C7-8C90-4005-8CD5-0AEACA51D87C}"/>
    <cellStyle name="Comma 4 2" xfId="210" xr:uid="{B8F98FD7-90E5-4590-B6D7-9C9A884113C6}"/>
    <cellStyle name="Comma 5" xfId="4" xr:uid="{EFC56135-A66A-469E-B532-2AE8C770C17D}"/>
    <cellStyle name="Comma 6 2" xfId="211" xr:uid="{BC4B6043-1792-4F4B-8B30-BB12D97165FE}"/>
    <cellStyle name="Comma 6 2 2" xfId="212" xr:uid="{26F2D7B7-0D97-4054-89FF-0EA680EB69C1}"/>
    <cellStyle name="Comma 6 3" xfId="213" xr:uid="{67CD653A-8F84-453C-94E2-0368A3267C5B}"/>
    <cellStyle name="Comma 6 3 2" xfId="214" xr:uid="{59CAD5CF-9FAB-4C21-B33B-6CA8CAEFC7C3}"/>
    <cellStyle name="Comma 6 4" xfId="215" xr:uid="{6865742D-4E6B-42E9-A1B6-F7DF580E0B92}"/>
    <cellStyle name="Comma 6 4 2" xfId="216" xr:uid="{D6AE64A7-D691-47C1-B697-E11288AF63D5}"/>
    <cellStyle name="Comma 6 5" xfId="217" xr:uid="{ACD56EAA-EFBB-48F6-A471-BB7302184EC4}"/>
    <cellStyle name="Comma 6 5 2" xfId="218" xr:uid="{0ADFC0A4-8755-4C8A-8FAD-5EE6CB5486BE}"/>
    <cellStyle name="Comma 6 6" xfId="219" xr:uid="{116BD624-A1B0-4F29-9CE3-F5E52C45CFF8}"/>
    <cellStyle name="Comma 6 6 2" xfId="220" xr:uid="{EEACF201-0BE8-4873-A67C-00CBA5A7D3A7}"/>
    <cellStyle name="Comma0" xfId="221" xr:uid="{A39FB139-C248-4612-8152-0D89F93B5353}"/>
    <cellStyle name="Comma0 10" xfId="222" xr:uid="{11812582-BE12-4FFD-B2D1-5ECB8E70947B}"/>
    <cellStyle name="Comma0 10 10" xfId="223" xr:uid="{DFA2BDA9-287A-4741-8EA5-9575C1565F06}"/>
    <cellStyle name="Comma0 10 11" xfId="224" xr:uid="{91004D94-C9CF-485A-8D41-7A3C6F955618}"/>
    <cellStyle name="Comma0 10 12" xfId="225" xr:uid="{B0BD8210-5E8E-4A5B-BD18-7086CF0B9139}"/>
    <cellStyle name="Comma0 10 13" xfId="226" xr:uid="{A5F4334A-7687-40EA-A606-89B5C4BD373B}"/>
    <cellStyle name="Comma0 10 14" xfId="227" xr:uid="{56723B76-E400-4375-B3D2-DB96CD1E9E05}"/>
    <cellStyle name="Comma0 10 15" xfId="228" xr:uid="{1B6FBECF-FC0F-409C-B2A5-8A9E7470DEE4}"/>
    <cellStyle name="Comma0 10 16" xfId="229" xr:uid="{D72583DB-32BB-4E94-85AB-45953CB1BA33}"/>
    <cellStyle name="Comma0 10 17" xfId="230" xr:uid="{42746626-09A0-45D5-9FC6-2761DE56FF6E}"/>
    <cellStyle name="Comma0 10 18" xfId="231" xr:uid="{E2FF6E89-69F2-4E39-803C-004A97AD579D}"/>
    <cellStyle name="Comma0 10 19" xfId="232" xr:uid="{638E397F-9AA2-4FAF-A2F4-8BD31C34BAA7}"/>
    <cellStyle name="Comma0 10 2" xfId="233" xr:uid="{4F2EAF3A-540A-418E-A62A-87776F72E5E8}"/>
    <cellStyle name="Comma0 10 20" xfId="234" xr:uid="{D1231709-4176-4E71-AB7D-00996037B833}"/>
    <cellStyle name="Comma0 10 21" xfId="235" xr:uid="{47CCEDEE-FD9C-4047-B136-EEAA657B6826}"/>
    <cellStyle name="Comma0 10 22" xfId="236" xr:uid="{2F689A1E-7D05-43C1-8242-BEC001F5D1CE}"/>
    <cellStyle name="Comma0 10 23" xfId="237" xr:uid="{33FCFD69-986E-4176-9755-BCDF8DF04BFF}"/>
    <cellStyle name="Comma0 10 24" xfId="238" xr:uid="{C7F233A7-8C24-43C6-9432-36B3D3562DD5}"/>
    <cellStyle name="Comma0 10 25" xfId="239" xr:uid="{AEEB5D17-D436-4E30-9947-2F81833322FB}"/>
    <cellStyle name="Comma0 10 26" xfId="240" xr:uid="{0F569CEB-6828-40C4-B9DD-69B2E2A0ABE2}"/>
    <cellStyle name="Comma0 10 3" xfId="241" xr:uid="{D23428C2-6027-47AB-A00E-985F8DCC36BD}"/>
    <cellStyle name="Comma0 10 4" xfId="242" xr:uid="{AF492E32-A9EB-415E-9554-4BDC7E640DB1}"/>
    <cellStyle name="Comma0 10 5" xfId="243" xr:uid="{F7A3B9DA-110A-4AD1-A51B-154AC5248919}"/>
    <cellStyle name="Comma0 10 6" xfId="244" xr:uid="{7250B042-F7FC-4275-821E-856918173A04}"/>
    <cellStyle name="Comma0 10 7" xfId="245" xr:uid="{5EFB36AF-A74F-4407-8918-424AE4A5E5F1}"/>
    <cellStyle name="Comma0 10 8" xfId="246" xr:uid="{972E2C86-A92E-483B-A9A6-844427F5A429}"/>
    <cellStyle name="Comma0 10 9" xfId="247" xr:uid="{B2F418B0-AAE5-48B4-B2D8-6BB1C360E1BD}"/>
    <cellStyle name="Comma0 11" xfId="248" xr:uid="{2997333E-CE21-44CB-9CF8-57B2706603AF}"/>
    <cellStyle name="Comma0 11 2" xfId="249" xr:uid="{0C3E6161-7E83-4D11-B7F6-DD2990AE108E}"/>
    <cellStyle name="Comma0 11 3" xfId="250" xr:uid="{E63EDE73-E677-4D4C-A2BE-5D4292FA27DA}"/>
    <cellStyle name="Comma0 11 4" xfId="251" xr:uid="{A939923A-379F-4ACA-81F1-F49D201AA9E4}"/>
    <cellStyle name="Comma0 11 5" xfId="252" xr:uid="{44CCA440-3260-457A-846B-69A3FC071988}"/>
    <cellStyle name="Comma0 11 6" xfId="253" xr:uid="{D5CDA6A9-A45E-4D9E-AD5D-EA95D8A89421}"/>
    <cellStyle name="Comma0 11 7" xfId="254" xr:uid="{A565BD70-7EF0-4CA9-B3D3-E65C9C864E7A}"/>
    <cellStyle name="Comma0 12" xfId="255" xr:uid="{F21F4418-232C-47AE-B131-43770439D168}"/>
    <cellStyle name="Comma0 12 2" xfId="256" xr:uid="{64133290-BC7D-46A7-A048-72DC42A2473E}"/>
    <cellStyle name="Comma0 12 2 2" xfId="257" xr:uid="{ED37C7D2-E7C6-4852-B5E0-33B50A97C52F}"/>
    <cellStyle name="Comma0 12 3" xfId="258" xr:uid="{174D4C9B-7E1E-4D9E-83C8-2E6F630F99DB}"/>
    <cellStyle name="Comma0 12 3 2" xfId="259" xr:uid="{C911505E-C352-4BF5-B52E-798977B3E548}"/>
    <cellStyle name="Comma0 12 4" xfId="260" xr:uid="{951F3820-5A22-4EDA-AEC5-CE1468FBCCF8}"/>
    <cellStyle name="Comma0 13" xfId="261" xr:uid="{9ED185B1-4E58-458D-AD86-5162A1A4BD08}"/>
    <cellStyle name="Comma0 13 2" xfId="262" xr:uid="{CF606262-A1F1-4B1F-B3E6-6918CD9A91A3}"/>
    <cellStyle name="Comma0 14" xfId="263" xr:uid="{89FC1A40-D011-49B7-B3EE-20669C7BDAEF}"/>
    <cellStyle name="Comma0 14 2" xfId="264" xr:uid="{8EED348F-D19B-4762-AA25-4908A1D8D4D9}"/>
    <cellStyle name="Comma0 15" xfId="265" xr:uid="{CD23E4BF-23F1-4029-B105-7FF9C39634AC}"/>
    <cellStyle name="Comma0 15 2" xfId="266" xr:uid="{9945440C-A315-4834-8544-6E304F14A4C2}"/>
    <cellStyle name="Comma0 16" xfId="267" xr:uid="{AADBD056-79AA-48F6-AE60-938CF5BE4546}"/>
    <cellStyle name="Comma0 16 2" xfId="268" xr:uid="{B16B0B37-39FC-4C8B-B137-0ABCDC03C43A}"/>
    <cellStyle name="Comma0 17" xfId="269" xr:uid="{F527690F-F00F-4948-868D-201380CA4A3C}"/>
    <cellStyle name="Comma0 17 2" xfId="270" xr:uid="{E6CB3D76-A727-432B-BC1C-CB9A8E9033F1}"/>
    <cellStyle name="Comma0 18" xfId="271" xr:uid="{F45280D9-2C91-4277-B32F-1F87FC817025}"/>
    <cellStyle name="Comma0 19" xfId="272" xr:uid="{D29CA123-A9AC-4E05-A033-224EFDFFEB56}"/>
    <cellStyle name="Comma0 2" xfId="273" xr:uid="{9FB6E3ED-DDA4-48E9-89DF-085DFB28923C}"/>
    <cellStyle name="Comma0 2 2" xfId="274" xr:uid="{E9226D4A-E254-40A7-AF15-2FD942D5A199}"/>
    <cellStyle name="Comma0 2 2 2" xfId="275" xr:uid="{F57C6E8D-6525-4A2D-8BA7-392DA181B03E}"/>
    <cellStyle name="Comma0 2 3" xfId="276" xr:uid="{8E020C5F-CFE2-4A51-96D1-AE05537E3E90}"/>
    <cellStyle name="Comma0 2 3 2" xfId="277" xr:uid="{891DF50B-B455-42C1-A73D-C3AA342C6AF8}"/>
    <cellStyle name="Comma0 2 4" xfId="278" xr:uid="{3AB2EFDA-C13F-4B04-AF08-2CEBE0B11EBF}"/>
    <cellStyle name="Comma0 2 4 2" xfId="279" xr:uid="{D0F0943F-C74A-4F59-A734-8A68E53051E0}"/>
    <cellStyle name="Comma0 2 5" xfId="280" xr:uid="{59838131-6510-4B53-BF88-7C646137DBF8}"/>
    <cellStyle name="Comma0 2 5 2" xfId="281" xr:uid="{1DC1FFBC-8665-4AF9-93E8-493F9FDCFDAF}"/>
    <cellStyle name="Comma0 2 6" xfId="282" xr:uid="{D3B1A879-3738-4719-BAFA-F76F3B000720}"/>
    <cellStyle name="Comma0 2 6 2" xfId="283" xr:uid="{F30DB3A0-BA23-4075-A545-BC1B8E51BA87}"/>
    <cellStyle name="Comma0 2 7" xfId="284" xr:uid="{5E698367-871C-4F4D-8D2B-C841BD675628}"/>
    <cellStyle name="Comma0 20" xfId="285" xr:uid="{239CEDFA-5F6D-47C7-8E5E-9D84E29686E2}"/>
    <cellStyle name="Comma0 21" xfId="286" xr:uid="{9340CD66-9C29-4815-BB40-2314F247296C}"/>
    <cellStyle name="Comma0 22" xfId="287" xr:uid="{28CCA6DD-128C-4AEE-B97F-936183B688B8}"/>
    <cellStyle name="Comma0 23" xfId="288" xr:uid="{A1A3F413-16F5-49E9-BD88-55A3B1689D00}"/>
    <cellStyle name="Comma0 24" xfId="289" xr:uid="{B974271B-03C4-496F-8DDC-388E8CFDE0A1}"/>
    <cellStyle name="Comma0 25" xfId="290" xr:uid="{84A69D92-42F4-4A80-BC67-5209F5EC37F8}"/>
    <cellStyle name="Comma0 26" xfId="291" xr:uid="{38432399-E292-4C3A-B6BB-E81AC402E184}"/>
    <cellStyle name="Comma0 27" xfId="292" xr:uid="{DDB61911-88EC-4893-8B6C-A116355A6ED1}"/>
    <cellStyle name="Comma0 28" xfId="293" xr:uid="{B1D729D1-B6E9-4220-9FE6-6C8E62AC00B6}"/>
    <cellStyle name="Comma0 29" xfId="294" xr:uid="{511C3014-3ABE-4BA9-B37B-41C9DA7A9B8B}"/>
    <cellStyle name="Comma0 3" xfId="295" xr:uid="{C1BF3CF6-9507-454E-9CA6-F007A527B144}"/>
    <cellStyle name="Comma0 3 2" xfId="296" xr:uid="{5EA9DD33-22CA-418A-A4DE-5EABF4CBC177}"/>
    <cellStyle name="Comma0 30" xfId="297" xr:uid="{9772486A-4A8F-4F1E-BA66-2717D7006993}"/>
    <cellStyle name="Comma0 31" xfId="298" xr:uid="{1CF83249-A150-46ED-A248-A691FC11EA2B}"/>
    <cellStyle name="Comma0 31 2" xfId="299" xr:uid="{D2737EF4-7CC4-4C2C-A000-642337DEB69A}"/>
    <cellStyle name="Comma0 31 3" xfId="300" xr:uid="{F8603B9F-1B64-4F0C-8811-72CCF2E76426}"/>
    <cellStyle name="Comma0 31 4" xfId="301" xr:uid="{1BF6F5FA-FC5F-413A-973D-B37BB0B90C99}"/>
    <cellStyle name="Comma0 32" xfId="302" xr:uid="{33E565F4-ACE4-4C4E-8D6F-9D9922D26D39}"/>
    <cellStyle name="Comma0 32 2" xfId="303" xr:uid="{649423B8-EAFB-44E4-B9DB-F5D3DC81A3BD}"/>
    <cellStyle name="Comma0 32 3" xfId="304" xr:uid="{29E6B648-29B9-4695-966B-918097EDF282}"/>
    <cellStyle name="Comma0 32 4" xfId="305" xr:uid="{1F1BC941-82FC-4498-96AE-08791C7218A9}"/>
    <cellStyle name="Comma0 33" xfId="306" xr:uid="{5729AC98-C5AD-462D-B68E-453F4DAAD431}"/>
    <cellStyle name="Comma0 33 2" xfId="307" xr:uid="{9BD6735C-D26F-4D12-B1E0-A822AED21578}"/>
    <cellStyle name="Comma0 33 3" xfId="308" xr:uid="{B1CD09EF-4097-47C4-914D-65340BA4DFC0}"/>
    <cellStyle name="Comma0 34" xfId="309" xr:uid="{D2E07305-1651-4895-B74A-1BC21E5A1891}"/>
    <cellStyle name="Comma0 34 2" xfId="310" xr:uid="{0D180FE2-2ECD-444E-8844-A3F086F9D6B7}"/>
    <cellStyle name="Comma0 35" xfId="311" xr:uid="{95610F51-68F9-4857-897E-655A51E900C8}"/>
    <cellStyle name="Comma0 35 2" xfId="312" xr:uid="{CFB2B3D3-407A-4BE5-B43F-A80AAFDD68E6}"/>
    <cellStyle name="Comma0 36" xfId="313" xr:uid="{E3D75180-6F2D-4968-9823-BC8BC38AA28A}"/>
    <cellStyle name="Comma0 36 2" xfId="314" xr:uid="{E13E7C74-CD47-408F-B247-44528B4CCA07}"/>
    <cellStyle name="Comma0 37" xfId="315" xr:uid="{71183B6F-DD42-45C0-A83D-05430B50BC12}"/>
    <cellStyle name="Comma0 38" xfId="316" xr:uid="{CFCC09D1-3352-46BF-A891-BCC8E19D1968}"/>
    <cellStyle name="Comma0 39" xfId="317" xr:uid="{A7BB45C9-2B60-4102-8F05-7284A9D99966}"/>
    <cellStyle name="Comma0 4" xfId="318" xr:uid="{BEC81245-D1A0-484D-8E56-68C554FC57B2}"/>
    <cellStyle name="Comma0 4 2" xfId="319" xr:uid="{E43FDBEC-FA25-417E-9B9F-E143BE242307}"/>
    <cellStyle name="Comma0 4 2 2" xfId="320" xr:uid="{5C73E679-E56E-4355-9EA7-1B002386C73C}"/>
    <cellStyle name="Comma0 4 3" xfId="321" xr:uid="{5062399F-21C3-4A82-8545-16A7BB6243A8}"/>
    <cellStyle name="Comma0 40" xfId="322" xr:uid="{821998BD-C0B1-4498-BFD8-0F8CD881EFA4}"/>
    <cellStyle name="Comma0 41" xfId="323" xr:uid="{8D33C9AF-F4D5-4F8E-8E47-A6E96F24C15B}"/>
    <cellStyle name="Comma0 42" xfId="324" xr:uid="{D0D0F927-7DA3-4B59-9F20-7EDD50A0F927}"/>
    <cellStyle name="Comma0 42 2" xfId="325" xr:uid="{B1508D35-E3CA-40FD-99B9-B95E222521B9}"/>
    <cellStyle name="Comma0 43" xfId="326" xr:uid="{D41CA483-B428-4B71-85BB-E564E651DE83}"/>
    <cellStyle name="Comma0 5" xfId="327" xr:uid="{93B14C2B-F94F-45A7-9E0E-3E58DD8D1857}"/>
    <cellStyle name="Comma0 5 2" xfId="328" xr:uid="{4F26B2BA-CBB0-497B-8D0D-9D9A1E904B58}"/>
    <cellStyle name="Comma0 6" xfId="329" xr:uid="{A322BFED-86DB-4068-8535-315FFC231E4F}"/>
    <cellStyle name="Comma0 6 2" xfId="330" xr:uid="{F5FA2E3F-029E-4F10-A613-F9E5020C488B}"/>
    <cellStyle name="Comma0 7" xfId="331" xr:uid="{54BEB001-A6DD-49E3-A2D8-46888ED5FB9C}"/>
    <cellStyle name="Comma0 7 2" xfId="332" xr:uid="{1F3F0B65-DF0F-47A0-AF7C-171FE1483B34}"/>
    <cellStyle name="Comma0 8" xfId="333" xr:uid="{D33F8A3B-B73C-4F02-95DC-E11AFBF52DDC}"/>
    <cellStyle name="Comma0 8 2" xfId="334" xr:uid="{686D19A9-85F4-447F-94C9-E9DD7DFE04CD}"/>
    <cellStyle name="Comma0 9" xfId="335" xr:uid="{E4B597EB-337D-43CB-81E5-B127AAF40171}"/>
    <cellStyle name="Comma0 9 2" xfId="336" xr:uid="{72E35D9B-DFC4-4446-B08F-14E44F8149ED}"/>
    <cellStyle name="Comma0 9 2 2" xfId="337" xr:uid="{D6E6D3D1-DED7-4F48-928D-20FB5F8FFEF0}"/>
    <cellStyle name="Comma0 9 3" xfId="338" xr:uid="{129029B9-314D-4980-9134-F2E4D2145E74}"/>
    <cellStyle name="Comma0 9 3 2" xfId="339" xr:uid="{7361C8E9-5E54-4CF6-9F75-5F14999CB67C}"/>
    <cellStyle name="Comma0 9 4" xfId="340" xr:uid="{95BD01F0-1FA8-45AF-B95A-E6C0E6498C04}"/>
    <cellStyle name="Comma0 9 4 2" xfId="341" xr:uid="{D1F351A7-BD74-4312-ABE9-F6A8E0B62167}"/>
    <cellStyle name="Comma0 9 5" xfId="342" xr:uid="{31530BA5-668E-45B1-8E5A-E7CCBF63A118}"/>
    <cellStyle name="Copied" xfId="343" xr:uid="{D1715BC5-A7F7-4B73-95DD-2E0E69210D32}"/>
    <cellStyle name="Currency 2" xfId="344" xr:uid="{1D8225C2-3CBB-449E-A641-228CAD93D812}"/>
    <cellStyle name="Currency 2 10" xfId="345" xr:uid="{1C012E9B-4F2B-4EF0-BA02-BEB2B4ED5C04}"/>
    <cellStyle name="Currency 2 10 2" xfId="346" xr:uid="{0CDCBF38-AC3F-4386-9575-874BCEBC5DDD}"/>
    <cellStyle name="Currency 2 11" xfId="347" xr:uid="{788A865E-153A-44E4-ADD5-21DDD01E394D}"/>
    <cellStyle name="Currency 2 11 2" xfId="348" xr:uid="{8777C814-08B6-4862-B4FA-80E05DC8502D}"/>
    <cellStyle name="Currency 2 12" xfId="349" xr:uid="{3B11D2AB-61B8-42F6-8D46-579ED4D67D4F}"/>
    <cellStyle name="Currency 2 12 2" xfId="350" xr:uid="{3E238D6B-FE72-4395-9D8A-091A634403CF}"/>
    <cellStyle name="Currency 2 13" xfId="351" xr:uid="{AC06CAC4-2D23-4525-B633-5ED688E23D79}"/>
    <cellStyle name="Currency 2 2" xfId="352" xr:uid="{DD469B5F-BE66-4913-81D2-8F77B7DD6E3F}"/>
    <cellStyle name="Currency 2 2 2" xfId="353" xr:uid="{84FB09F9-07D1-4A53-B966-A23381E153B7}"/>
    <cellStyle name="Currency 2 3" xfId="354" xr:uid="{B0005DA0-1233-4C0F-AC6B-C2C20D8AC478}"/>
    <cellStyle name="Currency 2 3 2" xfId="355" xr:uid="{72B85FA9-7C79-489E-99A8-0506EBE1E832}"/>
    <cellStyle name="Currency 2 4" xfId="356" xr:uid="{ECF3FCB1-F39D-49A6-8451-E945BA0F5819}"/>
    <cellStyle name="Currency 2 4 2" xfId="357" xr:uid="{BC17915F-DA92-4F79-9BD9-A5497ED726B3}"/>
    <cellStyle name="Currency 2 5" xfId="358" xr:uid="{9E1A163E-BC27-4FDA-B131-E430C6046165}"/>
    <cellStyle name="Currency 2 5 2" xfId="359" xr:uid="{E89628B4-2EC4-4306-907B-9FB79ECA3DE6}"/>
    <cellStyle name="Currency 2 6" xfId="360" xr:uid="{FD1AA542-200E-4B5A-9E39-51A535B4C850}"/>
    <cellStyle name="Currency 2 6 2" xfId="361" xr:uid="{F6D6402E-F729-4D02-8554-F7C51ADC021F}"/>
    <cellStyle name="Currency 2 7" xfId="362" xr:uid="{8E2F9464-F247-47C7-A96A-424E943FA855}"/>
    <cellStyle name="Currency 2 7 2" xfId="363" xr:uid="{A6F5B90E-7F11-4402-9909-94CD293E09E4}"/>
    <cellStyle name="Currency 2 8" xfId="364" xr:uid="{70A22DFB-3748-4FE3-A153-6CE908D83B7D}"/>
    <cellStyle name="Currency 2 8 2" xfId="365" xr:uid="{A5EB4A8D-4A9B-4B4C-8104-8810A6D5F257}"/>
    <cellStyle name="Currency 2 9" xfId="366" xr:uid="{73CC7A04-1090-43B3-889E-D596F16BF3A6}"/>
    <cellStyle name="Currency 2 9 2" xfId="367" xr:uid="{073CD03F-FF5F-400C-A9F8-74465BFC5313}"/>
    <cellStyle name="Currency 3" xfId="368" xr:uid="{8D8D5662-B174-4A69-A012-1DBAB76A50C2}"/>
    <cellStyle name="Currency 3 2" xfId="369" xr:uid="{39FB154F-735C-45C8-A4F1-58A399B27073}"/>
    <cellStyle name="Currency 3 2 2" xfId="370" xr:uid="{EB0CB32E-BCAF-4BA6-8723-7BD32388C889}"/>
    <cellStyle name="Currency 3 2 2 2" xfId="371" xr:uid="{B8374521-1B8A-4770-9BFD-76BBE076F67E}"/>
    <cellStyle name="Currency 3 2 3" xfId="372" xr:uid="{73EB2AC7-F5F2-44B4-B4B7-686E34B7F90C}"/>
    <cellStyle name="Currency 3 3" xfId="373" xr:uid="{04E37448-9927-4C20-8079-C7B235986BF9}"/>
    <cellStyle name="Currency 3 3 2" xfId="374" xr:uid="{E96CC08F-B374-48F5-9231-AD65CE293756}"/>
    <cellStyle name="Currency 3 4" xfId="375" xr:uid="{D527FE1D-6A99-4F30-85AB-150494740067}"/>
    <cellStyle name="Currency 4" xfId="376" xr:uid="{517088CB-025D-469A-9BB3-A5BC02AC5961}"/>
    <cellStyle name="Currency 7" xfId="377" xr:uid="{331B577E-B564-4482-8B60-89A2E9720325}"/>
    <cellStyle name="Currency 7 2" xfId="378" xr:uid="{83417AC6-3246-4401-860C-E08E85DF5E3B}"/>
    <cellStyle name="Currency0" xfId="379" xr:uid="{B0655429-7FE6-42A2-9A84-4F8D14EC4EC8}"/>
    <cellStyle name="Currency0 10" xfId="380" xr:uid="{0B8C1454-9971-4D51-9277-CBF0061C4BED}"/>
    <cellStyle name="Currency0 10 10" xfId="381" xr:uid="{1255C499-D058-4E2F-AE26-6DDF86B55599}"/>
    <cellStyle name="Currency0 10 11" xfId="382" xr:uid="{EDF55667-5CFF-4BE2-BC3C-EF66658671CE}"/>
    <cellStyle name="Currency0 10 12" xfId="383" xr:uid="{EA7F95FD-97E1-4D78-8B0D-ABD14481BBE0}"/>
    <cellStyle name="Currency0 10 13" xfId="384" xr:uid="{C3BE5BC9-874F-459E-9F14-C219447C86E9}"/>
    <cellStyle name="Currency0 10 14" xfId="385" xr:uid="{3DE75148-5E62-42B3-97D4-CCC47445BCE3}"/>
    <cellStyle name="Currency0 10 15" xfId="386" xr:uid="{A4F2A085-819F-4BBF-8EDE-9D9358CDC065}"/>
    <cellStyle name="Currency0 10 16" xfId="387" xr:uid="{47D75707-9835-45B9-B647-D81B8DE62C71}"/>
    <cellStyle name="Currency0 10 17" xfId="388" xr:uid="{CC7BFB1E-B4D8-4BF2-AC5C-D029F52DF3BF}"/>
    <cellStyle name="Currency0 10 18" xfId="389" xr:uid="{7E59D622-5E62-46C2-A4CB-8C7B4A1F8981}"/>
    <cellStyle name="Currency0 10 19" xfId="390" xr:uid="{E9E57488-16AB-4F75-AC5E-69616C30CEE4}"/>
    <cellStyle name="Currency0 10 2" xfId="391" xr:uid="{ED7DBF70-F361-4B9A-944F-9C7EF3CEA750}"/>
    <cellStyle name="Currency0 10 20" xfId="392" xr:uid="{01533DDD-89E6-4D20-A319-20663EB5EE10}"/>
    <cellStyle name="Currency0 10 21" xfId="393" xr:uid="{97BBFE40-639E-4A71-AF7E-9E1CB89E5C02}"/>
    <cellStyle name="Currency0 10 22" xfId="394" xr:uid="{49989959-0CE1-42E0-9CF5-4A249A87A69A}"/>
    <cellStyle name="Currency0 10 23" xfId="395" xr:uid="{00BE420B-ADF2-42EB-9814-F7745540AD33}"/>
    <cellStyle name="Currency0 10 24" xfId="396" xr:uid="{13996C77-4A81-4BC4-A62D-E160D76224B5}"/>
    <cellStyle name="Currency0 10 25" xfId="397" xr:uid="{86A26F2E-A601-4193-B20D-8C604E61BB6B}"/>
    <cellStyle name="Currency0 10 26" xfId="398" xr:uid="{4937CC70-F2D0-426D-A568-746CE7798588}"/>
    <cellStyle name="Currency0 10 3" xfId="399" xr:uid="{838CC4BB-34EB-4536-8BEF-AA040B194764}"/>
    <cellStyle name="Currency0 10 4" xfId="400" xr:uid="{482B3B83-EFCA-4FA5-BF0D-D324C723A043}"/>
    <cellStyle name="Currency0 10 5" xfId="401" xr:uid="{2424F7BA-0706-4970-A095-AAC4E9F14410}"/>
    <cellStyle name="Currency0 10 6" xfId="402" xr:uid="{35A702CC-4E42-465B-A4F5-CF719BE46F11}"/>
    <cellStyle name="Currency0 10 7" xfId="403" xr:uid="{A04A7446-E074-4BD1-A5FB-4F1D40E57262}"/>
    <cellStyle name="Currency0 10 8" xfId="404" xr:uid="{F677B8B4-FC8C-4B3C-A4DC-2A4B37C41738}"/>
    <cellStyle name="Currency0 10 9" xfId="405" xr:uid="{650EB21F-F93E-447C-A650-60C27EDDC3A2}"/>
    <cellStyle name="Currency0 11" xfId="406" xr:uid="{E9E940F7-4CB7-43CB-B91A-4C766C3B897C}"/>
    <cellStyle name="Currency0 11 2" xfId="407" xr:uid="{C09B4596-D5AA-4620-92EF-1B4BB07A16E7}"/>
    <cellStyle name="Currency0 11 3" xfId="408" xr:uid="{C5D6B3B7-7FA7-49C0-9798-9F2B1A299030}"/>
    <cellStyle name="Currency0 11 4" xfId="409" xr:uid="{AF5DFE31-FF79-4033-AD46-516CFD916C5B}"/>
    <cellStyle name="Currency0 11 5" xfId="410" xr:uid="{5FCAB70C-10E4-4DF7-93DA-CF98532969D8}"/>
    <cellStyle name="Currency0 11 6" xfId="411" xr:uid="{886D215B-7D8E-4844-9C0C-0A89F020375C}"/>
    <cellStyle name="Currency0 11 7" xfId="412" xr:uid="{4A4C7A1E-6C25-4185-837A-E2E7B10F2717}"/>
    <cellStyle name="Currency0 12" xfId="413" xr:uid="{D92B3E8B-407D-46EB-9060-7E1C3B0F08DA}"/>
    <cellStyle name="Currency0 12 2" xfId="414" xr:uid="{D84F2247-6F58-49FD-BF33-12636445972D}"/>
    <cellStyle name="Currency0 12 2 2" xfId="415" xr:uid="{996D8010-A656-4E3D-8D90-14AC285E92E6}"/>
    <cellStyle name="Currency0 12 3" xfId="416" xr:uid="{FBE7956B-8F3D-4D2B-A4CD-5878AB9FA1DB}"/>
    <cellStyle name="Currency0 12 3 2" xfId="417" xr:uid="{BF3BFF36-2867-4377-96C9-A1629902DD6F}"/>
    <cellStyle name="Currency0 12 4" xfId="418" xr:uid="{81DEEC14-B2E6-4FC3-B689-BCFFA71CD306}"/>
    <cellStyle name="Currency0 13" xfId="419" xr:uid="{3F9D6BC0-40D9-4072-834D-30C69702C498}"/>
    <cellStyle name="Currency0 13 2" xfId="420" xr:uid="{CBDA426B-032C-4701-A50F-2B73A6620365}"/>
    <cellStyle name="Currency0 14" xfId="421" xr:uid="{6C8A4EFF-BC97-4F7D-800D-E45DC4C8D0A1}"/>
    <cellStyle name="Currency0 14 2" xfId="422" xr:uid="{8CE9ECF9-0529-49BD-BCB7-A5677E84947F}"/>
    <cellStyle name="Currency0 15" xfId="423" xr:uid="{BAAE5C1D-7095-4DF1-AAA1-0799DE7CDC3A}"/>
    <cellStyle name="Currency0 15 2" xfId="424" xr:uid="{BE55FBE9-C25F-4F60-BB43-A37FE3CFE2EC}"/>
    <cellStyle name="Currency0 16" xfId="425" xr:uid="{F6875032-B5E5-43AB-9CB8-8C0367AE21C4}"/>
    <cellStyle name="Currency0 16 2" xfId="426" xr:uid="{F99D8419-8693-49AE-B25B-46819465A722}"/>
    <cellStyle name="Currency0 17" xfId="427" xr:uid="{9A22A87B-E78B-4F24-843B-C53B01E8AAA6}"/>
    <cellStyle name="Currency0 17 2" xfId="428" xr:uid="{0BA1E999-6178-4520-83E6-B2B489805EFE}"/>
    <cellStyle name="Currency0 18" xfId="429" xr:uid="{93367E44-8246-45A7-91DB-815B8961E871}"/>
    <cellStyle name="Currency0 19" xfId="430" xr:uid="{92CFF678-D091-4793-9A9F-E6E43F0AB986}"/>
    <cellStyle name="Currency0 2" xfId="431" xr:uid="{71BA8BEC-C74F-4672-B4D9-9521093D901F}"/>
    <cellStyle name="Currency0 2 2" xfId="432" xr:uid="{311FB18C-82D4-4736-A8F5-DBDEAA463F15}"/>
    <cellStyle name="Currency0 2 2 2" xfId="433" xr:uid="{052C2382-C176-4965-9B49-0DABE65D7BC1}"/>
    <cellStyle name="Currency0 2 3" xfId="434" xr:uid="{239F9BD7-6848-4D6F-9780-E1D770E8D35C}"/>
    <cellStyle name="Currency0 2 3 2" xfId="435" xr:uid="{C105A508-4011-4695-85B6-8514B3B89A86}"/>
    <cellStyle name="Currency0 2 4" xfId="436" xr:uid="{99B1D4CF-1237-4A45-B9E5-35023240086A}"/>
    <cellStyle name="Currency0 2 4 2" xfId="437" xr:uid="{1282A23E-1DFE-4D2B-8BC9-4A59447D7D38}"/>
    <cellStyle name="Currency0 2 5" xfId="438" xr:uid="{94322121-079E-42BA-826F-1BD4E3B37F0F}"/>
    <cellStyle name="Currency0 2 5 2" xfId="439" xr:uid="{26AEF445-5422-48DC-991B-F10A32F94D06}"/>
    <cellStyle name="Currency0 2 6" xfId="440" xr:uid="{5F055AB5-76EB-47CB-B1E6-122C102900DC}"/>
    <cellStyle name="Currency0 2 6 2" xfId="441" xr:uid="{A11E3293-59C3-4D71-955B-ACEC4F5002AD}"/>
    <cellStyle name="Currency0 2 7" xfId="442" xr:uid="{920AE795-F5FF-43BA-BB8F-7B478546421E}"/>
    <cellStyle name="Currency0 20" xfId="443" xr:uid="{1EAE961C-D0C1-496D-8D5B-36424D71D066}"/>
    <cellStyle name="Currency0 21" xfId="444" xr:uid="{A335BD74-1E27-45DE-AEE3-76D5DD782753}"/>
    <cellStyle name="Currency0 22" xfId="445" xr:uid="{B4EF9094-6A4B-489A-B038-4E11FA9863CF}"/>
    <cellStyle name="Currency0 23" xfId="446" xr:uid="{AC5C68CE-785A-4908-BA76-7E17D69CE664}"/>
    <cellStyle name="Currency0 24" xfId="447" xr:uid="{32193404-7A54-4490-84B8-BD758C2A5FF5}"/>
    <cellStyle name="Currency0 25" xfId="448" xr:uid="{E2ACD952-A08D-4830-906D-26060B76FB05}"/>
    <cellStyle name="Currency0 26" xfId="449" xr:uid="{A92AA2D7-8AD3-4946-9C1E-607F6C7BAEE9}"/>
    <cellStyle name="Currency0 27" xfId="450" xr:uid="{F6E0BF41-FA87-4A34-B604-B2F2540EBBCA}"/>
    <cellStyle name="Currency0 28" xfId="451" xr:uid="{D746699A-E619-4BC2-8127-1AF8AAF704AF}"/>
    <cellStyle name="Currency0 29" xfId="452" xr:uid="{E1BA4C63-179E-4E6F-B2D5-E47E30630A1D}"/>
    <cellStyle name="Currency0 3" xfId="453" xr:uid="{8A3D79F0-0EEC-4CBD-8203-A6373A5758F0}"/>
    <cellStyle name="Currency0 3 2" xfId="454" xr:uid="{514F86CB-2978-4390-ADA7-2A868F6B1E09}"/>
    <cellStyle name="Currency0 30" xfId="455" xr:uid="{11D9A99F-AB0E-482C-B188-FB492EC72FDA}"/>
    <cellStyle name="Currency0 31" xfId="456" xr:uid="{3CF1E343-66CA-4298-A975-F77A2CFFBBF2}"/>
    <cellStyle name="Currency0 31 2" xfId="457" xr:uid="{A03E5DED-BAEB-47DF-887A-6D6C22F77B21}"/>
    <cellStyle name="Currency0 31 3" xfId="458" xr:uid="{CD482446-C493-4AFA-812A-31F3BE7CA482}"/>
    <cellStyle name="Currency0 31 4" xfId="459" xr:uid="{FC66D1BA-F1F3-4285-9770-32FD58F04576}"/>
    <cellStyle name="Currency0 32" xfId="460" xr:uid="{B49E1E6F-8017-4A2C-8E5C-6BD49D3FA839}"/>
    <cellStyle name="Currency0 32 2" xfId="461" xr:uid="{68AAE0C8-26FF-4E3F-A51D-FD20C638A633}"/>
    <cellStyle name="Currency0 32 3" xfId="462" xr:uid="{DA547FF7-F0B3-47B9-92B0-E6E5BB8E2ABC}"/>
    <cellStyle name="Currency0 32 4" xfId="463" xr:uid="{6581AE19-305C-47C0-9533-27C791351173}"/>
    <cellStyle name="Currency0 33" xfId="464" xr:uid="{540EFD05-71B6-4C90-B8DE-4343624C9254}"/>
    <cellStyle name="Currency0 33 2" xfId="465" xr:uid="{D479531D-DE55-418A-A6BC-B9C70A9AD5C5}"/>
    <cellStyle name="Currency0 33 3" xfId="466" xr:uid="{9F828A27-8B00-4B52-89E7-19E253EE304E}"/>
    <cellStyle name="Currency0 34" xfId="467" xr:uid="{0820C87B-1BB9-4454-BAFC-83A3923B5F47}"/>
    <cellStyle name="Currency0 34 2" xfId="468" xr:uid="{9520FFA3-6C6E-45EB-93B0-8DC5BDBB872E}"/>
    <cellStyle name="Currency0 35" xfId="469" xr:uid="{2482E8F8-E20F-4D6D-8F57-2BF7460D766D}"/>
    <cellStyle name="Currency0 35 2" xfId="470" xr:uid="{1078E880-B770-4657-AEB5-DE3EBAA726FC}"/>
    <cellStyle name="Currency0 36" xfId="471" xr:uid="{9653E94F-FC8F-4A24-B45A-4E1F24C3A3CA}"/>
    <cellStyle name="Currency0 36 2" xfId="472" xr:uid="{426DB174-F391-45F7-B156-5B7A47A16981}"/>
    <cellStyle name="Currency0 37" xfId="473" xr:uid="{DD2C903B-00CE-450B-8297-E2747733E7DB}"/>
    <cellStyle name="Currency0 38" xfId="474" xr:uid="{2F1CE112-776B-46DE-8695-8302EC1E0A20}"/>
    <cellStyle name="Currency0 39" xfId="475" xr:uid="{FA59F56A-D37A-4E88-B312-92C57E043809}"/>
    <cellStyle name="Currency0 4" xfId="476" xr:uid="{35C0C3A2-C537-43F0-A830-2CB4F0049139}"/>
    <cellStyle name="Currency0 4 2" xfId="477" xr:uid="{B7660B8E-83B5-4543-9D1C-DC4DA2F54DD2}"/>
    <cellStyle name="Currency0 4 2 2" xfId="478" xr:uid="{E99C5088-B9E9-4840-8D8C-88D99DB394B0}"/>
    <cellStyle name="Currency0 4 3" xfId="479" xr:uid="{D5C7185A-88C9-4FCD-AFC8-75851DFF8BEE}"/>
    <cellStyle name="Currency0 40" xfId="480" xr:uid="{F771BE2D-76FE-4B1C-9C45-44B94F3CDB49}"/>
    <cellStyle name="Currency0 41" xfId="481" xr:uid="{F972D3D4-C469-4E9D-841B-329E10F00874}"/>
    <cellStyle name="Currency0 42" xfId="482" xr:uid="{76243BF1-A43E-40D0-A805-7D3F58641B9E}"/>
    <cellStyle name="Currency0 42 2" xfId="483" xr:uid="{A9EFBD4C-3528-44B6-95CC-2420C08CCEA4}"/>
    <cellStyle name="Currency0 43" xfId="484" xr:uid="{90B4DE57-5B0E-4A08-92AA-BBD8DCFAAE24}"/>
    <cellStyle name="Currency0 5" xfId="485" xr:uid="{9F7E5E37-CDAD-45B1-AFB1-5C13B944E8E8}"/>
    <cellStyle name="Currency0 5 2" xfId="486" xr:uid="{76F45C52-2BA3-4D3F-8A2B-1F74C60F6A4E}"/>
    <cellStyle name="Currency0 6" xfId="487" xr:uid="{2D4B74D9-8716-4183-92FE-45D14224A9B0}"/>
    <cellStyle name="Currency0 6 2" xfId="488" xr:uid="{14559629-F791-4F27-9E9B-38B708E85C83}"/>
    <cellStyle name="Currency0 7" xfId="489" xr:uid="{F1EEFD75-3EB5-4FED-8B13-87603AA72D88}"/>
    <cellStyle name="Currency0 7 2" xfId="490" xr:uid="{99BD30FC-EC64-4BBE-A3F3-29936C5D0773}"/>
    <cellStyle name="Currency0 8" xfId="491" xr:uid="{AA656F91-5489-48EB-AAAF-A0A20E4A1760}"/>
    <cellStyle name="Currency0 8 2" xfId="492" xr:uid="{4C463C21-B561-4FDF-88FE-5183D2F40361}"/>
    <cellStyle name="Currency0 9" xfId="493" xr:uid="{52019905-4357-4A45-8947-27F7D7B5115C}"/>
    <cellStyle name="Currency0 9 2" xfId="494" xr:uid="{FEC1DC6B-E5AF-4D70-A91D-038FE3F32937}"/>
    <cellStyle name="Currency0 9 2 2" xfId="495" xr:uid="{0856C76D-7851-4BFE-BBBA-893582E10839}"/>
    <cellStyle name="Currency0 9 3" xfId="496" xr:uid="{5C2E4D8A-202F-4AB8-85AA-54966B260565}"/>
    <cellStyle name="Currency0 9 3 2" xfId="497" xr:uid="{57D048BE-1BE0-4928-A2CF-F5A6042F17D6}"/>
    <cellStyle name="Currency0 9 4" xfId="498" xr:uid="{27F04984-8702-43AC-BE41-A0BA500BF419}"/>
    <cellStyle name="Currency0 9 4 2" xfId="499" xr:uid="{C6FB6BB0-A6B4-4FCE-8A19-56240BC66CE2}"/>
    <cellStyle name="Currency0 9 5" xfId="500" xr:uid="{755CE12C-FA54-409D-840A-C6B7825F61A0}"/>
    <cellStyle name="Date" xfId="501" xr:uid="{1D6D425A-9F1E-4838-BE61-6AF35506009F}"/>
    <cellStyle name="Date 10" xfId="502" xr:uid="{25697B4C-7B3E-4359-85E5-EB58B37842AF}"/>
    <cellStyle name="Date 10 10" xfId="503" xr:uid="{F66A42B1-C2FA-4F27-8D76-04AAEC50A6E6}"/>
    <cellStyle name="Date 10 11" xfId="504" xr:uid="{F4558F20-77C7-4611-9880-089C7FAFF705}"/>
    <cellStyle name="Date 10 12" xfId="505" xr:uid="{B5576426-EAF6-4371-ACA3-D9F6AE42EA91}"/>
    <cellStyle name="Date 10 13" xfId="506" xr:uid="{F4E9B34B-7805-4BEF-BB19-8EEB4FE45D27}"/>
    <cellStyle name="Date 10 14" xfId="507" xr:uid="{468DDA06-1287-48BE-8F0E-AE119010BD09}"/>
    <cellStyle name="Date 10 15" xfId="508" xr:uid="{6242B3D9-94AE-49D8-90A0-5382E41E49B3}"/>
    <cellStyle name="Date 10 16" xfId="509" xr:uid="{251926A9-1E4A-4F55-86DD-2810247DC806}"/>
    <cellStyle name="Date 10 17" xfId="510" xr:uid="{0EAB1DDD-CB04-4647-A7B8-16B0063D8A1A}"/>
    <cellStyle name="Date 10 18" xfId="511" xr:uid="{3C31C802-3D5A-4EA8-A785-0808A8900545}"/>
    <cellStyle name="Date 10 19" xfId="512" xr:uid="{2AB53A8B-AC69-43D9-B96F-FD54DC7D74F2}"/>
    <cellStyle name="Date 10 2" xfId="513" xr:uid="{F914D5AE-97C6-4516-A2D1-DF23C34E38E3}"/>
    <cellStyle name="Date 10 20" xfId="514" xr:uid="{8812B928-5B5E-455B-A86F-F8D61F147CE5}"/>
    <cellStyle name="Date 10 21" xfId="515" xr:uid="{B184BFDE-C086-490A-A75E-9E2608483411}"/>
    <cellStyle name="Date 10 22" xfId="516" xr:uid="{F6EBB338-75AF-4A5C-BC15-DFE41EBD6E2A}"/>
    <cellStyle name="Date 10 23" xfId="517" xr:uid="{C7CB456A-D39F-4F2F-AA65-51457BC10CA4}"/>
    <cellStyle name="Date 10 24" xfId="518" xr:uid="{C4D14D59-7EB3-408F-BDC3-1F947CA4716C}"/>
    <cellStyle name="Date 10 25" xfId="519" xr:uid="{0CD44A3C-2106-405F-9600-1C7761F0B904}"/>
    <cellStyle name="Date 10 26" xfId="520" xr:uid="{6C91FB43-A99B-4CFC-8C45-F0C464E8AB1B}"/>
    <cellStyle name="Date 10 3" xfId="521" xr:uid="{30037A93-A4ED-4ACC-8C11-EC40FE4C9F51}"/>
    <cellStyle name="Date 10 4" xfId="522" xr:uid="{E35C40BC-7047-46C7-AEED-2A2BD0BCC375}"/>
    <cellStyle name="Date 10 5" xfId="523" xr:uid="{0AD047E0-A372-4063-9486-5E340658C0B7}"/>
    <cellStyle name="Date 10 6" xfId="524" xr:uid="{3CE49194-BDE5-4D61-B63F-9C0C92AF5D52}"/>
    <cellStyle name="Date 10 7" xfId="525" xr:uid="{5ADDCCBB-6310-482B-8E72-68DEF07604DA}"/>
    <cellStyle name="Date 10 8" xfId="526" xr:uid="{1474D2BC-C3FD-40CB-9DF7-EDCC15FE63E1}"/>
    <cellStyle name="Date 10 9" xfId="527" xr:uid="{1BAF2E35-67AA-43EC-BC9C-6F4BF50AF51F}"/>
    <cellStyle name="Date 11" xfId="528" xr:uid="{D5BD4B0A-E2B0-42F0-A112-B07B2930CDA2}"/>
    <cellStyle name="Date 11 2" xfId="529" xr:uid="{92A9EBE2-EDF1-4A2B-AA0D-471B676229E1}"/>
    <cellStyle name="Date 11 3" xfId="530" xr:uid="{67BB082E-1678-4A6C-9774-BECA9253AA6B}"/>
    <cellStyle name="Date 11 4" xfId="531" xr:uid="{45460C1F-3905-45D4-AA59-4B3FA63C336B}"/>
    <cellStyle name="Date 11 5" xfId="532" xr:uid="{DF43A985-7666-45C8-BE9F-D61CE5CC3649}"/>
    <cellStyle name="Date 11 6" xfId="533" xr:uid="{865CF618-ADEC-4269-8152-5B9B8ADC5C22}"/>
    <cellStyle name="Date 11 7" xfId="534" xr:uid="{0909E78A-5823-4079-AFBC-B215825D8091}"/>
    <cellStyle name="Date 12" xfId="535" xr:uid="{BF1F95E0-2D74-4E4A-893D-C1C93DE5AB3B}"/>
    <cellStyle name="Date 12 2" xfId="536" xr:uid="{09CD4062-39D5-445A-971F-0D3ADA836AAC}"/>
    <cellStyle name="Date 12 2 2" xfId="537" xr:uid="{80A88EAD-D5AE-48EC-AC01-E2B2A13F8E5D}"/>
    <cellStyle name="Date 12 3" xfId="538" xr:uid="{17E94512-A2FE-4F5A-83FE-31E0F20757E5}"/>
    <cellStyle name="Date 12 3 2" xfId="539" xr:uid="{96B07005-4AE5-4062-989D-62F2875F69D8}"/>
    <cellStyle name="Date 12 4" xfId="540" xr:uid="{FCE60C72-B47B-4086-BDED-C2552D158525}"/>
    <cellStyle name="Date 13" xfId="541" xr:uid="{4B64E894-5C6F-42B8-A5B7-3EE610EA464D}"/>
    <cellStyle name="Date 13 2" xfId="542" xr:uid="{340EB30E-99D1-443E-B6F3-C305630176CF}"/>
    <cellStyle name="Date 14" xfId="543" xr:uid="{F8668227-AB89-4B45-A96B-039786BA2480}"/>
    <cellStyle name="Date 14 2" xfId="544" xr:uid="{48AC72FD-F9F4-4D1F-A789-0FA8825640B5}"/>
    <cellStyle name="Date 15" xfId="545" xr:uid="{E02EE239-9B81-4AD9-A01E-ACFF27EDFAFB}"/>
    <cellStyle name="Date 15 2" xfId="546" xr:uid="{A6E8F52B-3C00-410D-921E-BA3DD9876138}"/>
    <cellStyle name="Date 16" xfId="547" xr:uid="{D2CED0B9-7DC5-47D6-9511-1AEC630659FE}"/>
    <cellStyle name="Date 16 2" xfId="548" xr:uid="{C51C0FC0-E6AE-406D-A45D-CA3A9480C04D}"/>
    <cellStyle name="Date 17" xfId="549" xr:uid="{DC6CF353-F9EF-488C-9B1D-9DCEE1BC04ED}"/>
    <cellStyle name="Date 17 2" xfId="550" xr:uid="{8CC6BFD6-732F-44E5-AEAB-492E08D1DF6C}"/>
    <cellStyle name="Date 18" xfId="551" xr:uid="{70BCBB1C-A7B9-4735-8471-6189B6703B96}"/>
    <cellStyle name="Date 19" xfId="552" xr:uid="{96D3EBD6-1952-4C29-893A-BEB7A995CE16}"/>
    <cellStyle name="Date 2" xfId="553" xr:uid="{099E94F8-56CF-468E-9D63-036C115BC57F}"/>
    <cellStyle name="Date 2 2" xfId="554" xr:uid="{89D7CD1B-FBEE-4DBF-8256-980B7A2EB776}"/>
    <cellStyle name="Date 2 2 2" xfId="555" xr:uid="{8B0C6B20-1E8C-4CA6-B7D2-CDCFC5FC0913}"/>
    <cellStyle name="Date 2 3" xfId="556" xr:uid="{66644BCD-5D01-40B1-9DFF-AF1BE478AD0B}"/>
    <cellStyle name="Date 2 3 2" xfId="557" xr:uid="{6F27F0E2-4D20-43CA-9FC1-1348536A1A00}"/>
    <cellStyle name="Date 2 4" xfId="558" xr:uid="{3B03384C-4AA8-47B4-AD6F-73F7CD0AB311}"/>
    <cellStyle name="Date 2 4 2" xfId="559" xr:uid="{663ADFEC-2AEB-4BFB-9FCB-CDB8E5133A8F}"/>
    <cellStyle name="Date 2 5" xfId="560" xr:uid="{77CEA80D-8E94-42D9-A80F-D73ACEA013C4}"/>
    <cellStyle name="Date 2 5 2" xfId="561" xr:uid="{926F2DA4-1DD6-4AE3-808D-0227E25F795F}"/>
    <cellStyle name="Date 2 6" xfId="562" xr:uid="{039F2B78-B1DC-4A4C-8CAC-1044D39E31FB}"/>
    <cellStyle name="Date 2 6 2" xfId="563" xr:uid="{ECF1E8BE-F2A5-45AB-86C7-2E9583239053}"/>
    <cellStyle name="Date 2 7" xfId="564" xr:uid="{CA4644A4-38D9-471B-B1FA-960809CA04C1}"/>
    <cellStyle name="Date 20" xfId="565" xr:uid="{C64E9309-DAD4-4E5A-AEC6-CE07814C079D}"/>
    <cellStyle name="Date 21" xfId="566" xr:uid="{CD371615-6833-46C3-8463-856594A5DC14}"/>
    <cellStyle name="Date 22" xfId="567" xr:uid="{6C9060F6-57F5-4F0C-A328-92CD742BA4E8}"/>
    <cellStyle name="Date 23" xfId="568" xr:uid="{70BA831C-591B-477D-82CF-F402AAF1389F}"/>
    <cellStyle name="Date 24" xfId="569" xr:uid="{A5C1F0C5-6D8E-49C5-BC9C-758BD55686EC}"/>
    <cellStyle name="Date 25" xfId="570" xr:uid="{37891671-E86F-4F46-82E8-9870441EC579}"/>
    <cellStyle name="Date 26" xfId="571" xr:uid="{8CC0B3AD-680B-4D80-A69E-FE500163F03E}"/>
    <cellStyle name="Date 27" xfId="572" xr:uid="{2076A526-66FC-4FDB-8796-4A97B3EE47B7}"/>
    <cellStyle name="Date 28" xfId="573" xr:uid="{41B5A68E-0173-4DA0-8402-E355D3F47959}"/>
    <cellStyle name="Date 29" xfId="574" xr:uid="{80128F61-CE0C-4773-AE1A-5852C87835BB}"/>
    <cellStyle name="Date 3" xfId="575" xr:uid="{2C436DCE-87E6-4387-A876-F8AA9B9D6732}"/>
    <cellStyle name="Date 3 2" xfId="576" xr:uid="{57307186-7B5F-491A-B13C-9D55BA456D16}"/>
    <cellStyle name="Date 30" xfId="577" xr:uid="{E4DC564C-8C20-41AB-9E10-CBD2D178212B}"/>
    <cellStyle name="Date 31" xfId="578" xr:uid="{FB955882-F75B-4F07-99C2-EA5D7D66661C}"/>
    <cellStyle name="Date 31 2" xfId="579" xr:uid="{684994FD-6D68-4E4A-AC8F-549B9AC8A3F7}"/>
    <cellStyle name="Date 31 3" xfId="580" xr:uid="{813AD0D9-C6E3-438C-830A-DB39E238604E}"/>
    <cellStyle name="Date 31 4" xfId="581" xr:uid="{35F0B159-B45F-44F4-9900-AEB36B9AC5F0}"/>
    <cellStyle name="Date 32" xfId="582" xr:uid="{4D9C4313-0872-4780-833C-3DEEFF96386A}"/>
    <cellStyle name="Date 32 2" xfId="583" xr:uid="{EFA359CC-FB30-4947-88BB-F7EBA3172100}"/>
    <cellStyle name="Date 32 3" xfId="584" xr:uid="{5440ACF8-2FB9-43BF-BD47-E29C73F07D5B}"/>
    <cellStyle name="Date 32 4" xfId="585" xr:uid="{9CB49A56-60E5-4416-A2B6-E0D72E8B48E4}"/>
    <cellStyle name="Date 33" xfId="586" xr:uid="{4F939511-FB22-469D-B525-A54AE81018D3}"/>
    <cellStyle name="Date 33 2" xfId="587" xr:uid="{60DA47D8-1A4F-42FB-9E65-267E9B8ACBAF}"/>
    <cellStyle name="Date 33 3" xfId="588" xr:uid="{06EC2FE3-65DA-4835-B6D8-D75725635212}"/>
    <cellStyle name="Date 34" xfId="589" xr:uid="{867F7FB2-1081-46F2-9B93-9E60B7A7EF77}"/>
    <cellStyle name="Date 34 2" xfId="590" xr:uid="{39618CCE-D95A-4F7B-AA3D-9C269B05DC32}"/>
    <cellStyle name="Date 35" xfId="591" xr:uid="{A21002C0-2159-493E-B1BC-24A5AF5F5943}"/>
    <cellStyle name="Date 35 2" xfId="592" xr:uid="{665353FA-77DB-4D0A-89F0-312CEFA1A3F1}"/>
    <cellStyle name="Date 36" xfId="593" xr:uid="{DC142242-B718-4BC9-A677-E4865FA65A13}"/>
    <cellStyle name="Date 36 2" xfId="594" xr:uid="{9A0B294D-09D8-48C7-9C47-B400E282AC06}"/>
    <cellStyle name="Date 37" xfId="595" xr:uid="{89CF6B83-B7A5-4382-BBA5-1D1A1C2CF652}"/>
    <cellStyle name="Date 38" xfId="596" xr:uid="{BD6EEEE0-882D-4B49-9FFB-7BB3EE0918F8}"/>
    <cellStyle name="Date 39" xfId="597" xr:uid="{89CF53C5-0026-4051-919C-8BFE762604E5}"/>
    <cellStyle name="Date 4" xfId="598" xr:uid="{691867E5-8293-4393-97DC-A39BD05A66EC}"/>
    <cellStyle name="Date 4 2" xfId="599" xr:uid="{2CF02486-CA17-4603-A40E-3F359B68C0DF}"/>
    <cellStyle name="Date 4 2 2" xfId="600" xr:uid="{96AC3773-7B25-44AF-88F0-702FDA2497E6}"/>
    <cellStyle name="Date 4 3" xfId="601" xr:uid="{62594180-828E-4205-A67C-F3170CEE3FD9}"/>
    <cellStyle name="Date 40" xfId="602" xr:uid="{07ADB156-51D0-4DC0-886B-F37A4B48CF8A}"/>
    <cellStyle name="Date 41" xfId="603" xr:uid="{0E966372-050B-4C68-B996-4E6E39395E8C}"/>
    <cellStyle name="Date 42" xfId="604" xr:uid="{60A26441-FD4E-49A7-A182-0977F757A378}"/>
    <cellStyle name="Date 42 2" xfId="605" xr:uid="{3D7D08D4-EB04-4865-A4AF-81FE9F9A3CDA}"/>
    <cellStyle name="Date 43" xfId="606" xr:uid="{9016640C-34CC-45BD-BDD4-AD050D93556E}"/>
    <cellStyle name="Date 5" xfId="607" xr:uid="{DB6F6323-1AF5-4135-99CE-842D803D9E73}"/>
    <cellStyle name="Date 5 2" xfId="608" xr:uid="{7D3D7AE2-73F2-43E6-8842-DFA79405281B}"/>
    <cellStyle name="Date 6" xfId="609" xr:uid="{D502611B-9111-4F61-B615-5BCDD9610364}"/>
    <cellStyle name="Date 6 2" xfId="610" xr:uid="{C49E3C7F-6ABE-4152-9792-718316663A2A}"/>
    <cellStyle name="Date 7" xfId="611" xr:uid="{196D8805-D880-42C6-9BDD-06F5D3539CDE}"/>
    <cellStyle name="Date 7 2" xfId="612" xr:uid="{4AD52A34-E221-4040-BA7C-51EDE6E0CC90}"/>
    <cellStyle name="Date 8" xfId="613" xr:uid="{1FD69BBA-AD5F-477B-B853-A4F2333E03B4}"/>
    <cellStyle name="Date 8 2" xfId="614" xr:uid="{473BAB89-9242-4509-8044-703906A3589F}"/>
    <cellStyle name="Date 9" xfId="615" xr:uid="{D07C2B6A-40D8-4CFB-89C8-697419E286FB}"/>
    <cellStyle name="Date 9 2" xfId="616" xr:uid="{90142E18-6210-48B4-8C51-4D7A2AE3F295}"/>
    <cellStyle name="Date 9 2 2" xfId="617" xr:uid="{57393049-F375-4F88-A6D0-2088CBF37FB8}"/>
    <cellStyle name="Date 9 3" xfId="618" xr:uid="{8D404CF6-16FA-40CA-85DD-A3ACEAF5EECA}"/>
    <cellStyle name="Date 9 3 2" xfId="619" xr:uid="{65F37F83-7F17-479C-AC4E-BFFC57E08099}"/>
    <cellStyle name="Date 9 4" xfId="620" xr:uid="{8733E1DE-250C-49D4-8D9C-2CABEF10A314}"/>
    <cellStyle name="Date 9 4 2" xfId="621" xr:uid="{D9F06890-ABF3-4948-89D9-87A5C0DFA518}"/>
    <cellStyle name="Date 9 5" xfId="622" xr:uid="{B85B9F06-ED3D-49E6-AF57-38820C706516}"/>
    <cellStyle name="Entered" xfId="623" xr:uid="{D982FE05-CD85-490A-92E9-525C994AA4BD}"/>
    <cellStyle name="Fixed" xfId="624" xr:uid="{70D0ED1F-4CB4-4844-80A4-1A9368EE113E}"/>
    <cellStyle name="Fixed 10" xfId="625" xr:uid="{50BA2957-7729-463D-A272-4EC51BE63BA7}"/>
    <cellStyle name="Fixed 10 10" xfId="626" xr:uid="{83532E40-C083-44BC-A6B6-C78D4C02F4D9}"/>
    <cellStyle name="Fixed 10 11" xfId="627" xr:uid="{424E4833-31CB-4646-B7F1-20830A3A837C}"/>
    <cellStyle name="Fixed 10 12" xfId="628" xr:uid="{29CE9586-15DB-4F04-87F1-96F8C0E59969}"/>
    <cellStyle name="Fixed 10 13" xfId="629" xr:uid="{2B6073B8-852A-463D-92B5-2A3164C400DA}"/>
    <cellStyle name="Fixed 10 14" xfId="630" xr:uid="{3B651ECC-C795-45AE-A87B-14723E60F4BF}"/>
    <cellStyle name="Fixed 10 15" xfId="631" xr:uid="{11ED6693-9E49-4398-9B93-142D9EC7714A}"/>
    <cellStyle name="Fixed 10 16" xfId="632" xr:uid="{5936838F-ED46-446D-946B-CE5852F869E7}"/>
    <cellStyle name="Fixed 10 17" xfId="633" xr:uid="{B13EA835-E5F9-4059-864A-FEFE69DBE910}"/>
    <cellStyle name="Fixed 10 18" xfId="634" xr:uid="{4B127522-FC86-4891-ADFE-4FE0EC752592}"/>
    <cellStyle name="Fixed 10 19" xfId="635" xr:uid="{E4A6D25B-32F6-4E8F-A40E-853982EAA260}"/>
    <cellStyle name="Fixed 10 2" xfId="636" xr:uid="{A5E9DA49-C102-4025-90EA-F8F72193F267}"/>
    <cellStyle name="Fixed 10 20" xfId="637" xr:uid="{7F18685C-9C7A-425F-AAE9-E1996D3BAB5F}"/>
    <cellStyle name="Fixed 10 21" xfId="638" xr:uid="{1BD1FCFF-F739-4051-9F00-AAB74D79479D}"/>
    <cellStyle name="Fixed 10 22" xfId="639" xr:uid="{18306CAE-AABE-4299-85F5-A62BB6028CF2}"/>
    <cellStyle name="Fixed 10 23" xfId="640" xr:uid="{AAD682D2-8E09-4054-B047-28486A19E3D5}"/>
    <cellStyle name="Fixed 10 24" xfId="641" xr:uid="{7EB850B8-37E3-4CB9-BF5D-5B5EB5AC17CF}"/>
    <cellStyle name="Fixed 10 25" xfId="642" xr:uid="{04350310-8317-4471-9FAB-010B2CDEAA1D}"/>
    <cellStyle name="Fixed 10 26" xfId="643" xr:uid="{ADB7AF01-8889-46A6-8AAE-C5419DBEAD3D}"/>
    <cellStyle name="Fixed 10 3" xfId="644" xr:uid="{8E9DC1D5-459F-4913-A588-78E02F9F2916}"/>
    <cellStyle name="Fixed 10 4" xfId="645" xr:uid="{45C1F6F9-BB82-4CE6-9EBB-44531108CF2A}"/>
    <cellStyle name="Fixed 10 5" xfId="646" xr:uid="{48A4BC19-3E46-45FD-A3C8-D55584089E30}"/>
    <cellStyle name="Fixed 10 6" xfId="647" xr:uid="{C378B7BE-0ABF-4231-B578-D6771824DE1F}"/>
    <cellStyle name="Fixed 10 7" xfId="648" xr:uid="{01ECDBE4-A286-4ED2-8D6B-66C7DA3254EA}"/>
    <cellStyle name="Fixed 10 8" xfId="649" xr:uid="{4865CEB4-B0F1-4EBE-89A5-E21293FC1ABA}"/>
    <cellStyle name="Fixed 10 9" xfId="650" xr:uid="{7E768372-D8A0-4CCF-952D-0C65A3846DCF}"/>
    <cellStyle name="Fixed 11" xfId="651" xr:uid="{E974570D-8305-4A5D-A884-E6104ADF5EB2}"/>
    <cellStyle name="Fixed 11 2" xfId="652" xr:uid="{21309BA3-054F-4605-9716-61A5BE2A33F4}"/>
    <cellStyle name="Fixed 11 3" xfId="653" xr:uid="{63854A54-9ADF-4B4E-87D2-0D0308C08756}"/>
    <cellStyle name="Fixed 11 4" xfId="654" xr:uid="{4AB1A08D-5E97-4380-A088-5B97110E954B}"/>
    <cellStyle name="Fixed 11 5" xfId="655" xr:uid="{36193959-BA9E-4038-9A72-6F17C1AAC8EF}"/>
    <cellStyle name="Fixed 11 6" xfId="656" xr:uid="{84253BDB-73D9-42B0-BD79-C5F8C2D48509}"/>
    <cellStyle name="Fixed 11 7" xfId="657" xr:uid="{4BBB01B0-7427-48E8-B41F-33EEEE99E286}"/>
    <cellStyle name="Fixed 12" xfId="658" xr:uid="{2FD78FFF-796A-46A5-972C-189ADFBDB832}"/>
    <cellStyle name="Fixed 12 2" xfId="659" xr:uid="{DD090D7C-A8DE-44D5-92BD-A08142CEE004}"/>
    <cellStyle name="Fixed 12 2 2" xfId="660" xr:uid="{B28883A8-E9AA-468A-B115-B1048953DC08}"/>
    <cellStyle name="Fixed 12 3" xfId="661" xr:uid="{1C6E0739-09EE-4FF2-A3F6-3878EF814CC8}"/>
    <cellStyle name="Fixed 12 3 2" xfId="662" xr:uid="{5E70B6B1-477C-48DA-8E8C-300D92D21232}"/>
    <cellStyle name="Fixed 12 4" xfId="663" xr:uid="{49BF0D42-91D3-47B1-8360-E81B90D31169}"/>
    <cellStyle name="Fixed 13" xfId="664" xr:uid="{AF6298E7-84B1-4369-B49D-B6C0E38096B7}"/>
    <cellStyle name="Fixed 13 2" xfId="665" xr:uid="{66C98971-BAC1-4BEA-8BB4-F27422EF1FF3}"/>
    <cellStyle name="Fixed 14" xfId="666" xr:uid="{DA27A779-1346-4D23-B926-D14F4A619BDE}"/>
    <cellStyle name="Fixed 14 2" xfId="667" xr:uid="{EE850C72-907E-4D48-ACD7-26B14DCB4E9E}"/>
    <cellStyle name="Fixed 15" xfId="668" xr:uid="{7EFAD40C-937D-4376-8BC3-BD089F8311C5}"/>
    <cellStyle name="Fixed 15 2" xfId="669" xr:uid="{9697D673-0909-461E-8DE9-9C38E647BEDD}"/>
    <cellStyle name="Fixed 16" xfId="670" xr:uid="{38045E8D-7966-49EC-A2D2-9ED2277BFB86}"/>
    <cellStyle name="Fixed 16 2" xfId="671" xr:uid="{B88E51EA-9929-4CAF-ACC4-0F5E31B5800A}"/>
    <cellStyle name="Fixed 17" xfId="672" xr:uid="{66042278-5615-4D34-A4D1-8C399096E125}"/>
    <cellStyle name="Fixed 17 2" xfId="673" xr:uid="{B638733C-AD4C-456F-BE47-4EDF2C880E5D}"/>
    <cellStyle name="Fixed 18" xfId="674" xr:uid="{1CD04CE2-BCFB-4C2F-AD2B-7F862E6C936D}"/>
    <cellStyle name="Fixed 19" xfId="675" xr:uid="{FB000F44-34BA-47E9-82FC-2F1A0BF5EE52}"/>
    <cellStyle name="Fixed 2" xfId="676" xr:uid="{46E5E609-DF59-4AD4-8FD3-F6CF52C5DA68}"/>
    <cellStyle name="Fixed 2 2" xfId="677" xr:uid="{7ED85B36-D0D8-4209-B40C-59DF7A876165}"/>
    <cellStyle name="Fixed 2 2 2" xfId="678" xr:uid="{8B731527-8FEC-42C5-AD27-48AE073F2CD3}"/>
    <cellStyle name="Fixed 2 3" xfId="679" xr:uid="{6883C8B5-15C1-45BC-909B-10E34892165C}"/>
    <cellStyle name="Fixed 2 3 2" xfId="680" xr:uid="{4BE69AAC-71FB-4989-816D-03412BEC9250}"/>
    <cellStyle name="Fixed 2 4" xfId="681" xr:uid="{0F51C40A-B0F1-4D64-9B0F-C509D103BF88}"/>
    <cellStyle name="Fixed 2 4 2" xfId="682" xr:uid="{469407EE-0865-468A-AB21-F265D822441B}"/>
    <cellStyle name="Fixed 2 5" xfId="683" xr:uid="{2676DAD9-679D-4163-AC43-76C9FA21E16A}"/>
    <cellStyle name="Fixed 2 5 2" xfId="684" xr:uid="{A95EF633-3DA1-44A7-B81D-F6F4D4E6A987}"/>
    <cellStyle name="Fixed 2 6" xfId="685" xr:uid="{77DD0BFE-732D-4C43-A9CB-7621E39D0311}"/>
    <cellStyle name="Fixed 2 6 2" xfId="686" xr:uid="{56E37B9A-1FA7-494E-AB59-EEAD6924D417}"/>
    <cellStyle name="Fixed 2 7" xfId="687" xr:uid="{3D65033C-7757-4950-80B2-9392A2BCB05A}"/>
    <cellStyle name="Fixed 20" xfId="688" xr:uid="{52A6ED7B-D9E5-4F7A-8723-74B2CA45E26E}"/>
    <cellStyle name="Fixed 21" xfId="689" xr:uid="{EA230848-B072-4880-9BC0-092556501220}"/>
    <cellStyle name="Fixed 22" xfId="690" xr:uid="{EC978F71-3A86-4258-97E2-7C365A72F8D1}"/>
    <cellStyle name="Fixed 23" xfId="691" xr:uid="{71E36624-AA7D-454B-B02F-CEFCAFAEC6AE}"/>
    <cellStyle name="Fixed 24" xfId="692" xr:uid="{A26FA937-824B-4D8B-BFF7-4B85FC8E3E16}"/>
    <cellStyle name="Fixed 25" xfId="693" xr:uid="{B90D39A8-74B4-459C-A3AF-4D9F41532126}"/>
    <cellStyle name="Fixed 26" xfId="694" xr:uid="{2E24D0D1-D515-4D9E-8EFE-140D27E47251}"/>
    <cellStyle name="Fixed 27" xfId="695" xr:uid="{80792CF9-2E39-4EB4-B129-B72742BBC024}"/>
    <cellStyle name="Fixed 28" xfId="696" xr:uid="{C5D4FFFA-7ACB-4F7F-8F17-D36E790F6079}"/>
    <cellStyle name="Fixed 29" xfId="697" xr:uid="{784748A0-9F17-4D15-A2DC-E424B625B5D6}"/>
    <cellStyle name="Fixed 3" xfId="698" xr:uid="{212A7EA8-2B54-4EA1-8E3C-88FD46708C8D}"/>
    <cellStyle name="Fixed 3 2" xfId="699" xr:uid="{E48CF96D-EA84-40CC-9DAE-AF17A42010EA}"/>
    <cellStyle name="Fixed 30" xfId="700" xr:uid="{12909E28-B30C-43AB-9929-99780240779B}"/>
    <cellStyle name="Fixed 31" xfId="701" xr:uid="{26E83ABA-E88F-461C-82F8-EFD57329B602}"/>
    <cellStyle name="Fixed 31 2" xfId="702" xr:uid="{DA419BC4-5FC0-48EB-8462-0C6EE817C149}"/>
    <cellStyle name="Fixed 31 3" xfId="703" xr:uid="{CF524F98-1FA4-41EE-9CFE-B1217C02DFF4}"/>
    <cellStyle name="Fixed 31 4" xfId="704" xr:uid="{9848B913-2523-42A8-9417-367261E405D8}"/>
    <cellStyle name="Fixed 32" xfId="705" xr:uid="{2CC561AF-78A9-464E-A536-14AB64B78CF7}"/>
    <cellStyle name="Fixed 32 2" xfId="706" xr:uid="{814F2139-0B93-4E6B-A761-ED6B4FDA8C24}"/>
    <cellStyle name="Fixed 32 3" xfId="707" xr:uid="{A0842CEE-5543-4974-96A6-7094270FEAE6}"/>
    <cellStyle name="Fixed 32 4" xfId="708" xr:uid="{03AC06BC-3326-41F4-9230-1C98A462781B}"/>
    <cellStyle name="Fixed 33" xfId="709" xr:uid="{88C42430-7C63-4AE6-AA2A-88C5136297D1}"/>
    <cellStyle name="Fixed 33 2" xfId="710" xr:uid="{005C6AC7-7292-4250-B3CA-B6DA038B848D}"/>
    <cellStyle name="Fixed 33 3" xfId="711" xr:uid="{9497829F-95C1-4883-B6D0-78B0DE7DABE2}"/>
    <cellStyle name="Fixed 34" xfId="712" xr:uid="{CA273D05-FCA0-4F57-8071-2FC83FA53ACC}"/>
    <cellStyle name="Fixed 34 2" xfId="713" xr:uid="{8B8084E1-9686-41CD-B436-7E3A9BFBB54F}"/>
    <cellStyle name="Fixed 35" xfId="714" xr:uid="{C18BE0CD-CEB1-4C0E-927D-F7C04D22D598}"/>
    <cellStyle name="Fixed 35 2" xfId="715" xr:uid="{C05C568B-1F6A-45B2-A6A9-5E88B18D4395}"/>
    <cellStyle name="Fixed 36" xfId="716" xr:uid="{2027A86E-8F1E-437A-BB0F-BB8DC37604C5}"/>
    <cellStyle name="Fixed 36 2" xfId="717" xr:uid="{8FDC2341-6AC3-4E19-888B-68397D460177}"/>
    <cellStyle name="Fixed 37" xfId="718" xr:uid="{E73134B6-7F9F-45BE-A930-FFC15C7B2D67}"/>
    <cellStyle name="Fixed 38" xfId="719" xr:uid="{BCE0684A-CEAE-43C6-AA0A-66D9F69D51EF}"/>
    <cellStyle name="Fixed 39" xfId="720" xr:uid="{A9E66316-F2D8-4DE0-8951-3048428D4E5A}"/>
    <cellStyle name="Fixed 4" xfId="721" xr:uid="{CFC9D0AC-1C4A-4977-B057-12F0E204BB67}"/>
    <cellStyle name="Fixed 4 2" xfId="722" xr:uid="{245F21C7-90F7-4317-BA34-AA63C08DEF3A}"/>
    <cellStyle name="Fixed 4 2 2" xfId="723" xr:uid="{B208F2AA-A1C0-47B4-AC33-BA65C0E3D37B}"/>
    <cellStyle name="Fixed 4 3" xfId="724" xr:uid="{643F74FC-6964-49B7-94B2-8697B354B0AA}"/>
    <cellStyle name="Fixed 40" xfId="725" xr:uid="{71A44CE5-A9DC-4AB0-A47E-6B9632B3F44B}"/>
    <cellStyle name="Fixed 41" xfId="726" xr:uid="{478AABD6-E040-4FE3-9EDD-BD6C6CDB13D6}"/>
    <cellStyle name="Fixed 42" xfId="727" xr:uid="{342D5C77-7C90-466D-B65A-DBB82D0D8DFE}"/>
    <cellStyle name="Fixed 42 2" xfId="728" xr:uid="{631BA748-E582-4A35-A8F9-A5259541A16E}"/>
    <cellStyle name="Fixed 43" xfId="729" xr:uid="{864C36C3-3C1B-4ACC-9B23-04C8B0AFC0A1}"/>
    <cellStyle name="Fixed 5" xfId="730" xr:uid="{C4F8FF8F-4866-474B-AAEC-915A64D2E64A}"/>
    <cellStyle name="Fixed 5 2" xfId="731" xr:uid="{5F417515-F4AB-4BAB-AE30-03FD75C663F7}"/>
    <cellStyle name="Fixed 6" xfId="732" xr:uid="{8C6341B3-A0B8-4BC1-875B-A22FF4AF3647}"/>
    <cellStyle name="Fixed 6 2" xfId="733" xr:uid="{F52195A5-8E17-42E7-94A2-08C9ABB1143C}"/>
    <cellStyle name="Fixed 7" xfId="734" xr:uid="{0BB140D6-9C3D-4EA4-8E3A-3C422F503FA8}"/>
    <cellStyle name="Fixed 7 2" xfId="735" xr:uid="{62C612F6-F8F7-48F1-99EF-2A70EEA3B918}"/>
    <cellStyle name="Fixed 8" xfId="736" xr:uid="{DEC3FF8E-89C9-4820-A175-94FD72B3C2B3}"/>
    <cellStyle name="Fixed 8 2" xfId="737" xr:uid="{DE208257-127F-470D-B728-79A5B179CCFF}"/>
    <cellStyle name="Fixed 9" xfId="738" xr:uid="{F233FB95-7F04-4A4C-83CD-CFD8B7F7D6B0}"/>
    <cellStyle name="Fixed 9 2" xfId="739" xr:uid="{E5D107CB-A252-4614-B784-AA49BB4BDBD6}"/>
    <cellStyle name="Fixed 9 2 2" xfId="740" xr:uid="{1C9E8008-80C3-48CB-A63C-4838BFF02187}"/>
    <cellStyle name="Fixed 9 3" xfId="741" xr:uid="{3EE3ED2B-1FFE-4A20-BD8E-73F5FFAB6637}"/>
    <cellStyle name="Fixed 9 3 2" xfId="742" xr:uid="{14E11FCD-52E4-4252-9B2A-E8BE15F8EC60}"/>
    <cellStyle name="Fixed 9 4" xfId="743" xr:uid="{757C88CE-7319-486E-90C4-4C4AA07861B7}"/>
    <cellStyle name="Fixed 9 4 2" xfId="744" xr:uid="{85333E91-89C2-475F-A4A6-FD54E7BEDFE2}"/>
    <cellStyle name="Fixed 9 5" xfId="745" xr:uid="{C1E8EC56-419E-4795-9D84-5AC86B6C1B06}"/>
    <cellStyle name="-Footnote_&amp;_Source" xfId="746" xr:uid="{C79FA269-0026-436A-9B34-AA2BD578F4B6}"/>
    <cellStyle name="Grey" xfId="747" xr:uid="{FCE7F10D-6A20-4E5E-AC42-BE136B8AC46D}"/>
    <cellStyle name="Header1" xfId="748" xr:uid="{018FBE49-9B35-4901-98AB-9EE4838B7530}"/>
    <cellStyle name="Header2" xfId="749" xr:uid="{1B3E26B9-1464-4E33-B88E-3E45D35417A8}"/>
    <cellStyle name="Heading 1 10" xfId="750" xr:uid="{807EE2ED-0073-45A3-94D5-B445A7F307BC}"/>
    <cellStyle name="Heading 1 2" xfId="751" xr:uid="{D2112734-2B19-46A5-9951-5DE18ADA5AC9}"/>
    <cellStyle name="Heading 1 2 2" xfId="752" xr:uid="{4C750549-0F09-4F34-809C-D3C984926302}"/>
    <cellStyle name="Heading 1 2 3" xfId="753" xr:uid="{67E28106-A14F-4A3F-A76F-FD8A03E839AC}"/>
    <cellStyle name="Heading 1 2 4" xfId="754" xr:uid="{1E8D5D87-6A97-4BBC-9C78-EC9413E30F5E}"/>
    <cellStyle name="Heading 1 2 5" xfId="755" xr:uid="{11C84670-5295-43A8-843C-283304110062}"/>
    <cellStyle name="Heading 1 2 6" xfId="756" xr:uid="{7C3F2CB2-6C7C-408A-B402-2DAADDE73474}"/>
    <cellStyle name="Heading 1 3" xfId="757" xr:uid="{F9F117E7-538A-44AD-957C-87A1BEB838D8}"/>
    <cellStyle name="Heading 1 4" xfId="758" xr:uid="{49E48039-6628-45D9-BAF8-0ABDAC6D85C9}"/>
    <cellStyle name="Heading 1 5" xfId="759" xr:uid="{FA425756-165E-4DDA-A396-60A0694A7864}"/>
    <cellStyle name="Heading 1 6" xfId="760" xr:uid="{DB668FE1-8731-4FB1-9555-A8F39F43A508}"/>
    <cellStyle name="Heading 1 7" xfId="761" xr:uid="{B9B7E13D-E033-4179-9225-CEE5248F76CC}"/>
    <cellStyle name="Heading 1 8" xfId="762" xr:uid="{075D109E-1074-4A4E-91F2-A9B533ED4942}"/>
    <cellStyle name="Heading 1 9" xfId="763" xr:uid="{77003588-82F2-48F8-8B7A-AAFAD95A0345}"/>
    <cellStyle name="Heading 2 10" xfId="764" xr:uid="{B4BA7671-F809-4FB2-B0F7-0A2A8CA82FAD}"/>
    <cellStyle name="Heading 2 2" xfId="765" xr:uid="{E9C0E035-6E3E-4258-9B50-989773080800}"/>
    <cellStyle name="Heading 2 2 2" xfId="766" xr:uid="{1D4DE29B-42FA-40C4-B39C-95D502FB5598}"/>
    <cellStyle name="Heading 2 2 3" xfId="767" xr:uid="{8E7ADCF6-FC9E-48A4-B358-F2BA2C2F0614}"/>
    <cellStyle name="Heading 2 2 4" xfId="768" xr:uid="{6F3D4070-DDDD-4AE3-96F9-560BA381F757}"/>
    <cellStyle name="Heading 2 2 5" xfId="769" xr:uid="{479325BB-0ADA-4D59-820C-A405CDCC89CF}"/>
    <cellStyle name="Heading 2 2 6" xfId="770" xr:uid="{D291B144-4960-4FEC-814E-65EB7E671FD9}"/>
    <cellStyle name="Heading 2 3" xfId="771" xr:uid="{0F0124CD-1792-422C-84A4-D68632EB4389}"/>
    <cellStyle name="Heading 2 4" xfId="772" xr:uid="{CF8635BE-47E0-4870-AF6A-FBDC63EC5819}"/>
    <cellStyle name="Heading 2 5" xfId="773" xr:uid="{B5CB34F9-9955-4B5A-BE67-71CC9FEACFF7}"/>
    <cellStyle name="Heading 2 6" xfId="774" xr:uid="{4780EFCC-5149-43BE-B618-B621A77D3F4F}"/>
    <cellStyle name="Heading 2 7" xfId="775" xr:uid="{BA0D9A9B-3FCB-4651-BE7D-C526B09E7613}"/>
    <cellStyle name="Heading 2 8" xfId="776" xr:uid="{E9DA6E36-6B35-48A1-BF15-D1501F999C79}"/>
    <cellStyle name="Heading 2 9" xfId="777" xr:uid="{01481D44-6F21-49F9-8548-67CEE5A48343}"/>
    <cellStyle name="Hyperlink 2" xfId="778" xr:uid="{FB85B277-CBB6-4BF8-AC6E-A0A91A79BA1D}"/>
    <cellStyle name="InfoDataColumn" xfId="779" xr:uid="{A7D6C48A-CBD1-4AF4-BBDF-9EC975302628}"/>
    <cellStyle name="InfoDataRow" xfId="780" xr:uid="{7959F032-34F1-4E58-8DF4-51D74024B1D3}"/>
    <cellStyle name="InfoLabelColumn" xfId="781" xr:uid="{387DC3EC-4F73-4E20-AEA8-E75790B0684B}"/>
    <cellStyle name="InfoLabelRow" xfId="782" xr:uid="{38FA440E-C793-45EE-8251-23B841C79B0A}"/>
    <cellStyle name="InfolDataColumn" xfId="783" xr:uid="{8FB4C88B-9762-48BC-8CF6-904A248BD956}"/>
    <cellStyle name="InformationalData" xfId="784" xr:uid="{69FFF708-A58B-4E02-90DB-6E3C2CD0598D}"/>
    <cellStyle name="InformationalLabel" xfId="785" xr:uid="{24D4DEB0-BE80-4EBE-B067-CF49988D27F7}"/>
    <cellStyle name="InformationalLabelTop" xfId="786" xr:uid="{942317A0-FAF2-4C3A-A891-FF40837FA02F}"/>
    <cellStyle name="InputData" xfId="787" xr:uid="{48D8AD6F-8E96-47C3-93E8-B6C4BE3AE731}"/>
    <cellStyle name="InputDataColumn" xfId="788" xr:uid="{44949E82-805B-433B-8AC5-AD1D10859326}"/>
    <cellStyle name="InputDataRow" xfId="789" xr:uid="{067ABC1A-59D7-4A98-B3C4-5D1370639365}"/>
    <cellStyle name="InputLabel" xfId="790" xr:uid="{1D3293EF-AC4B-417E-9B32-0CDA6076AAC6}"/>
    <cellStyle name="InputLabelColumn" xfId="791" xr:uid="{24557A4F-0298-4A35-8524-4F79222B844A}"/>
    <cellStyle name="InputLabelRow" xfId="792" xr:uid="{DFC44DB7-F475-4A50-8F34-90A41AB9F5FE}"/>
    <cellStyle name="InputLabelTop" xfId="793" xr:uid="{C14A4B8E-C61C-4E54-A977-E189B31B2D7A}"/>
    <cellStyle name="IntermediateData" xfId="794" xr:uid="{D9079B7A-7BB3-40C9-BDDC-1C8163F642BE}"/>
    <cellStyle name="IntermediateDataColumn" xfId="795" xr:uid="{3E52B8EF-9B5D-4EAD-A005-EC491EAE5CD1}"/>
    <cellStyle name="IntermediateDataColumn 2" xfId="796" xr:uid="{57B5B272-D590-403A-8A06-FD8798D33E49}"/>
    <cellStyle name="IntermediateDataColumn 3" xfId="797" xr:uid="{FD9668E1-6E4A-45C7-AD28-1B56DC9FBDDE}"/>
    <cellStyle name="IntermediateDataColumn 4" xfId="798" xr:uid="{95E55628-202C-4402-9ACD-6800DE0557B2}"/>
    <cellStyle name="IntermediateDataRow" xfId="799" xr:uid="{C4B05879-6F16-410B-8C8E-6261CFDC1FD2}"/>
    <cellStyle name="IntermediateLabel" xfId="800" xr:uid="{50DCF925-F96D-4060-A626-A3C838B12431}"/>
    <cellStyle name="IntermediateLabelColumn" xfId="801" xr:uid="{3A4A39B9-FBD4-4B92-A073-B398D6D8FAAB}"/>
    <cellStyle name="IntermediateLabelRow" xfId="802" xr:uid="{B6239B5E-925C-482A-AD31-1A9B743731F2}"/>
    <cellStyle name="InvalidCell" xfId="803" xr:uid="{81A4DF36-8C3D-4BA8-8C3F-181742122A42}"/>
    <cellStyle name="NewSheet" xfId="804" xr:uid="{0479617A-393B-4CFE-9026-0390A9CD29DA}"/>
    <cellStyle name="NewSheet 10" xfId="805" xr:uid="{D53E5781-4EB7-4308-A436-B27818DAF175}"/>
    <cellStyle name="NewSheet 2" xfId="806" xr:uid="{A4EA5C1F-FD0E-4328-A759-ABEEC23F0D4E}"/>
    <cellStyle name="NewSheet 2 2" xfId="807" xr:uid="{F63A2327-C35D-4291-AA6C-B423CFBFFAE2}"/>
    <cellStyle name="NewSheet 2 3" xfId="808" xr:uid="{84EE14D0-21BC-4296-85D5-DA6B7FD51769}"/>
    <cellStyle name="NewSheet 2 4" xfId="809" xr:uid="{EF8D6CFA-D04E-4858-8291-1588FBB20D17}"/>
    <cellStyle name="NewSheet 2 5" xfId="810" xr:uid="{CBE544C5-147F-4258-A639-229B21C9CA46}"/>
    <cellStyle name="NewSheet 2 6" xfId="811" xr:uid="{B123B81C-03FB-4A39-93ED-4E89669FEAF6}"/>
    <cellStyle name="NewSheet 3" xfId="812" xr:uid="{694F0074-431D-4C05-B4E9-DE15EF788379}"/>
    <cellStyle name="NewSheet 4" xfId="813" xr:uid="{6328D952-E3F7-44F5-AAAB-77189ECE53F4}"/>
    <cellStyle name="NewSheet 4 2" xfId="814" xr:uid="{E9238101-22A4-42C7-BC2A-209988307036}"/>
    <cellStyle name="NewSheet 5" xfId="815" xr:uid="{0AB433FB-CB45-44A9-885B-A91EF8815A47}"/>
    <cellStyle name="NewSheet 6" xfId="816" xr:uid="{12A31F3F-4261-45F1-B416-43F9F536739D}"/>
    <cellStyle name="NewSheet 7" xfId="817" xr:uid="{52F28D0B-61F4-42A2-BB43-BD2223591BBC}"/>
    <cellStyle name="NewSheet 8" xfId="818" xr:uid="{3159EB6D-7D84-4E7D-98C7-13BA84CC19C4}"/>
    <cellStyle name="NewSheet 9" xfId="819" xr:uid="{DBB20359-0DF7-45A8-A2B9-C97F5B1B4FB7}"/>
    <cellStyle name="Normal" xfId="0" builtinId="0"/>
    <cellStyle name="Normal - Style1" xfId="820" xr:uid="{1F51945E-9A76-4EB0-B030-7FA515378F7D}"/>
    <cellStyle name="Normal 10" xfId="821" xr:uid="{43F6D2F7-CD16-4EA9-B3AB-F7B6F8C3B216}"/>
    <cellStyle name="Normal 10 2" xfId="822" xr:uid="{4AE69E11-858D-412C-A2B2-73B125E5206B}"/>
    <cellStyle name="Normal 10 3" xfId="823" xr:uid="{3EFACE56-5232-4D9E-9937-B7372E14816E}"/>
    <cellStyle name="Normal 10 5 2 2" xfId="824" xr:uid="{368668B7-B203-45EA-A386-D3E79E085059}"/>
    <cellStyle name="Normal 11" xfId="825" xr:uid="{ACC9B8D4-D4B4-43E6-A47D-029077285E91}"/>
    <cellStyle name="Normal 12" xfId="826" xr:uid="{EDD222D9-A3CC-40AC-9009-8628334A83A8}"/>
    <cellStyle name="Normal 13" xfId="827" xr:uid="{A5342CC8-A5A5-4FA1-A2CB-A1033E2EBA45}"/>
    <cellStyle name="Normal 14" xfId="828" xr:uid="{DCBEC26F-11D8-42D2-8FF6-FD898FCF1164}"/>
    <cellStyle name="Normal 15" xfId="829" xr:uid="{AED8DF10-F3CB-4B7B-B509-6E0DB69BFC66}"/>
    <cellStyle name="Normal 16" xfId="3" xr:uid="{EF4224DB-45BB-4F6B-8628-1B9135F81AE5}"/>
    <cellStyle name="Normal 2" xfId="830" xr:uid="{2D753EF7-7F58-47D0-BB46-888B6B4B75FC}"/>
    <cellStyle name="Normal 2 2" xfId="831" xr:uid="{BE2BA300-F021-40CE-B395-CD25AC8258FE}"/>
    <cellStyle name="Normal 2 2 2" xfId="832" xr:uid="{9FA9982D-0149-4E81-9745-A820C13B9C26}"/>
    <cellStyle name="Normal 2 2 2 2" xfId="5" xr:uid="{A16BCB88-BB3E-4139-8347-844BFC29A8FA}"/>
    <cellStyle name="Normal 2 2 3" xfId="833" xr:uid="{75DD4CB7-2EBB-4579-9291-579A2A37583F}"/>
    <cellStyle name="Normal 2 2 4" xfId="834" xr:uid="{802EE3A1-D8F6-487C-8FDB-0CB0A2A91287}"/>
    <cellStyle name="Normal 2 2 5" xfId="835" xr:uid="{2F670F36-61E5-4000-A8CF-B6EDFB70DDE7}"/>
    <cellStyle name="Normal 2 2 7" xfId="836" xr:uid="{9E23A9BF-583D-48E2-9871-EB18A25A5020}"/>
    <cellStyle name="Normal 2 3" xfId="837" xr:uid="{9CEDCA46-FF10-4047-AD2D-2F6C3DD77EB8}"/>
    <cellStyle name="Normal 2 30 2 2" xfId="838" xr:uid="{4001FA77-D258-42C5-B12A-36F965510750}"/>
    <cellStyle name="Normal 2 4" xfId="839" xr:uid="{CA67BED6-49EC-487A-A593-AC56D84DE574}"/>
    <cellStyle name="Normal 2 5" xfId="840" xr:uid="{85AB0714-9AE5-4972-B9D4-569FB78D3D8E}"/>
    <cellStyle name="Normal 2 6" xfId="841" xr:uid="{2864B9D0-DA97-45A6-8F96-1C0D5334F57B}"/>
    <cellStyle name="Normal 2 7" xfId="842" xr:uid="{61274A28-0A09-4C9E-9991-167D7399C4B4}"/>
    <cellStyle name="Normal 2_Base Correlation Calibration (ITRAXX)" xfId="843" xr:uid="{852E3E3A-9DF7-4943-89E8-CBDEF2B08A8A}"/>
    <cellStyle name="Normal 3" xfId="844" xr:uid="{2A205EE8-03B8-48E2-8E8A-515FE82AA42B}"/>
    <cellStyle name="Normal 3 2" xfId="845" xr:uid="{8909FD94-0FA3-44C1-AF0E-30D9B94FCC1C}"/>
    <cellStyle name="Normal 3 3" xfId="846" xr:uid="{B24A1B93-68A4-4D3B-B33C-F4B7662432CB}"/>
    <cellStyle name="Normal 39" xfId="847" xr:uid="{C0F07204-BD93-4897-8ECE-B21D47E8C972}"/>
    <cellStyle name="Normal 4" xfId="848" xr:uid="{214D8471-D000-4E79-BBA3-08FA6526F9B2}"/>
    <cellStyle name="Normal 4 2" xfId="849" xr:uid="{AC6D00FE-B149-4DD0-98AC-287A0AF33E01}"/>
    <cellStyle name="Normal 4 3" xfId="850" xr:uid="{36FAEBB6-C6BF-4084-911F-003896523F1B}"/>
    <cellStyle name="Normal 5" xfId="851" xr:uid="{4FFE2D00-F508-4D05-8945-B47444E5333B}"/>
    <cellStyle name="Normal 5 2" xfId="852" xr:uid="{A8E1B21A-9FFC-456E-8F75-5BEEFA9F9873}"/>
    <cellStyle name="Normal 6" xfId="853" xr:uid="{0D197E7F-831A-478E-8459-49C06309EFE0}"/>
    <cellStyle name="Normal 7" xfId="854" xr:uid="{69564361-1503-4DE1-917F-273C7D6926F5}"/>
    <cellStyle name="Normal 8" xfId="855" xr:uid="{CFA91A29-E8AF-435C-9ABA-875203D13626}"/>
    <cellStyle name="Normal 9" xfId="856" xr:uid="{919E658B-149D-475F-879A-4EC21FA19E9E}"/>
    <cellStyle name="Note 2" xfId="857" xr:uid="{AFCE22EF-E759-4E4D-98DB-CD24A72F2049}"/>
    <cellStyle name="Note 2 2" xfId="858" xr:uid="{594BBC15-0B4F-44A8-81DD-32CA6309463A}"/>
    <cellStyle name="Note 3" xfId="859" xr:uid="{456265CE-262B-4496-A46F-4BF691FCE0DF}"/>
    <cellStyle name="ObjectDataColumn" xfId="860" xr:uid="{4F43FA0C-F7C2-4FB7-B728-168022C25CE5}"/>
    <cellStyle name="ObjectDataRow" xfId="861" xr:uid="{FBFD3DE2-3665-4762-899A-1128F1CCC6B9}"/>
    <cellStyle name="ObjectLabelColumn" xfId="862" xr:uid="{C7FB5C08-F8EB-4B10-A90A-45BC2890DFDB}"/>
    <cellStyle name="ObjectLabelRow" xfId="863" xr:uid="{60C34D81-3E6B-4B70-99EC-1D749A1161DE}"/>
    <cellStyle name="OutputData" xfId="864" xr:uid="{260EFE0F-2D46-4CD6-9F35-B3C6EF043DCF}"/>
    <cellStyle name="OutputDataColumn" xfId="865" xr:uid="{3CD78644-10A4-437C-BCDE-F4191E62D4FB}"/>
    <cellStyle name="OutputDataRow" xfId="866" xr:uid="{2FB33525-6904-4451-B9BE-96641049F540}"/>
    <cellStyle name="OutputLabel" xfId="867" xr:uid="{23F27596-BD0A-4F1C-ABEE-7521777A31EC}"/>
    <cellStyle name="OutputLabelColumn" xfId="868" xr:uid="{98E58BA3-6463-4590-B9B4-044586293AA2}"/>
    <cellStyle name="OutputLabelRow" xfId="869" xr:uid="{EAC66393-A12C-4948-BBAD-BDB3AAC56877}"/>
    <cellStyle name="PanelLabel" xfId="870" xr:uid="{2B50753B-1CF7-4B4A-9C82-C2E7C7BFD2CB}"/>
    <cellStyle name="Percent" xfId="1" builtinId="5"/>
    <cellStyle name="Percent 10" xfId="871" xr:uid="{C70CED72-9164-43E6-9844-2D32E7E28801}"/>
    <cellStyle name="Percent 14" xfId="872" xr:uid="{9CD023DA-6007-46B9-8C15-E4E2E605EADA}"/>
    <cellStyle name="Percent 2" xfId="7" xr:uid="{71C1140E-B8C0-45F6-A7C5-6FC93C8954CB}"/>
    <cellStyle name="Percent 2 2" xfId="873" xr:uid="{E97C3688-6CA5-4A2C-8F89-A8C7E3D1AF48}"/>
    <cellStyle name="Percent 2 2 2" xfId="874" xr:uid="{377B5ED0-10E6-497F-9105-4CEAC6A347EC}"/>
    <cellStyle name="Percent 2 2 2 2" xfId="8" xr:uid="{070986E5-0600-4246-810B-526DC7D9FBD3}"/>
    <cellStyle name="Percent 2 2 3" xfId="875" xr:uid="{D9C1D636-C05A-464D-AD11-4165708AAC54}"/>
    <cellStyle name="Percent 2 2 4" xfId="876" xr:uid="{83626DFE-48A6-4D20-A505-3FD19303BB31}"/>
    <cellStyle name="Percent 2 2 5" xfId="877" xr:uid="{87C0A9D0-2524-42FF-A910-550E093874F6}"/>
    <cellStyle name="Percent 2 2 6" xfId="878" xr:uid="{9871643D-3D8E-4B81-82DF-111E3F63746D}"/>
    <cellStyle name="Percent 2 3" xfId="879" xr:uid="{5CD1C27F-A7E6-4A03-A4E4-B8640611E879}"/>
    <cellStyle name="Percent 2 3 2" xfId="880" xr:uid="{734B198C-892C-4A73-B4FE-D26561D1601D}"/>
    <cellStyle name="Percent 2 4" xfId="881" xr:uid="{64BF31CE-5AC7-4B5D-8DC7-2D6887450619}"/>
    <cellStyle name="Percent 2 5" xfId="882" xr:uid="{215BD766-A0CA-4CB5-B5DD-4488A82AFD87}"/>
    <cellStyle name="Percent 2 6" xfId="883" xr:uid="{70520286-578D-4302-80D3-B5BB016D5A04}"/>
    <cellStyle name="Percent 3" xfId="884" xr:uid="{74BA7CCB-998A-48F7-939C-29B76B38B9C0}"/>
    <cellStyle name="Percent 3 9" xfId="885" xr:uid="{D4A653FA-BAB9-4BA2-AD6A-963027A179F8}"/>
    <cellStyle name="Percent 4" xfId="886" xr:uid="{6CA82180-0250-4E6B-AFD6-0C1E9D520114}"/>
    <cellStyle name="Percent 4 2" xfId="887" xr:uid="{B76D7A8A-737C-48FC-9694-4E96BAB0B971}"/>
    <cellStyle name="Percent 4 2 2" xfId="888" xr:uid="{D2A72B51-1F3D-4B32-AA3C-A252AE236851}"/>
    <cellStyle name="Percent 5" xfId="889" xr:uid="{C9B104E1-F905-4A8D-AB53-84DC9D3F617A}"/>
    <cellStyle name="Percent 5 2" xfId="890" xr:uid="{316FB929-8795-487E-9C1C-FD3721E00287}"/>
    <cellStyle name="Percent 5 2 2" xfId="891" xr:uid="{C688D9F5-345B-4D37-95B5-21F255488CF2}"/>
    <cellStyle name="Percent 5 2 3" xfId="892" xr:uid="{D730EF61-EE53-4B4B-BE20-401B61EA4E62}"/>
    <cellStyle name="Percent 6" xfId="893" xr:uid="{AD3B4ED3-AF2D-4FD8-9C5F-D050873BFCA3}"/>
    <cellStyle name="Percent 6 2" xfId="894" xr:uid="{D2C3127D-7E82-4869-83C5-DC1D87001808}"/>
    <cellStyle name="Percent 7" xfId="895" xr:uid="{EB7446D8-E2B8-49B8-AB44-7708F3F5F0A2}"/>
    <cellStyle name="Percent 8" xfId="896" xr:uid="{9778CB3A-1D8C-4DD8-96FE-CC96F39C1C1C}"/>
    <cellStyle name="PersonalDataColumn" xfId="897" xr:uid="{C6CCB4D3-6510-4425-B14A-B7DFFB782D28}"/>
    <cellStyle name="PersonalDataRow" xfId="898" xr:uid="{79BBFA7D-5E84-4945-96A9-B71196F36287}"/>
    <cellStyle name="PersonalLabelColumn" xfId="899" xr:uid="{4E718C7C-3C88-493A-8123-1D78F24FF240}"/>
    <cellStyle name="PersonalLabelRow" xfId="900" xr:uid="{675A691D-5E4A-43E5-83DA-6A74D6B8989F}"/>
    <cellStyle name="Q_Input" xfId="901" xr:uid="{7A1E4376-F890-4DC3-8A5E-1D6E68C251A6}"/>
    <cellStyle name="Q_Input Stripe" xfId="902" xr:uid="{B049FC06-C73B-492B-A5C6-29EDA1890B99}"/>
    <cellStyle name="Q_Label" xfId="903" xr:uid="{DB34DAB4-9475-471A-B67F-B6D22D23C686}"/>
    <cellStyle name="Q_Label 2" xfId="6" xr:uid="{C40FA837-4DF2-4713-9F23-1527D078B543}"/>
    <cellStyle name="Q_Label 3" xfId="904" xr:uid="{DFE2F542-108D-4E83-A6C7-2588D97FDC90}"/>
    <cellStyle name="Q_Label Stripe" xfId="905" xr:uid="{1E3E011E-F407-4C44-B965-4DADF5DE9C8E}"/>
    <cellStyle name="Q_Label Stripe 2" xfId="906" xr:uid="{4AEDC845-280E-429E-AD3E-DC63CC763206}"/>
    <cellStyle name="Q_Label Stripe 2 2" xfId="907" xr:uid="{58FBE3B5-7D5E-489A-8572-8D42499DC7C9}"/>
    <cellStyle name="Q_Object" xfId="9" xr:uid="{EC4AB95E-2F47-4F8A-924C-1ED2F839EF6D}"/>
    <cellStyle name="Q_Object 2" xfId="908" xr:uid="{F438250E-025C-484F-AD5E-5AF8A0496616}"/>
    <cellStyle name="Q_Object 3" xfId="909" xr:uid="{72E937DD-3E18-43BC-83A4-5AE9016BFA45}"/>
    <cellStyle name="Q_Result" xfId="910" xr:uid="{6C934F56-A562-483F-8E0F-69FA31B66504}"/>
    <cellStyle name="Q_Result 2" xfId="911" xr:uid="{51E7DDFE-33A6-4131-8D20-7C2A528B11E5}"/>
    <cellStyle name="Q_Result Header" xfId="912" xr:uid="{C24B752D-3590-433D-BBD8-3835A80FBE68}"/>
    <cellStyle name="Q_Result Header 2" xfId="10" xr:uid="{DBC9156D-6794-4585-9D85-B12796989FC4}"/>
    <cellStyle name="Q_Result Total" xfId="913" xr:uid="{C1E68000-6FEA-4649-9186-248950D42EA9}"/>
    <cellStyle name="Q_Section Description" xfId="914" xr:uid="{D822AB40-C0AD-4099-9E4E-F15354E83DB3}"/>
    <cellStyle name="Q_Section Header" xfId="915" xr:uid="{CC3DE0D4-C84D-44A5-810A-2E6773131BB5}"/>
    <cellStyle name="Q_Section Header 2" xfId="916" xr:uid="{9D47209C-0537-4339-B456-D31D57E02275}"/>
    <cellStyle name="Q_Sheet Header" xfId="917" xr:uid="{FDA0A2F7-CA19-449A-9A42-DB5F634EF735}"/>
    <cellStyle name="Q_Sheet Header 2" xfId="918" xr:uid="{94B14B2B-9AB7-4F30-9A30-A3A290669C2E}"/>
    <cellStyle name="result" xfId="919" xr:uid="{8404F438-F833-43EF-A699-FCB14FFAD0D2}"/>
    <cellStyle name="spreads" xfId="920" xr:uid="{9895334B-CF0C-4A67-9E22-A46221498432}"/>
    <cellStyle name="Style 1" xfId="921" xr:uid="{F057D7E4-529F-42E0-9CEE-D71172C8A486}"/>
    <cellStyle name="Style 1 10" xfId="922" xr:uid="{C88E0192-A0F2-4B19-BA6F-34A91E8CFACD}"/>
    <cellStyle name="Style 1 2" xfId="923" xr:uid="{D4A92D02-FE2E-4E99-9584-86125A878FA2}"/>
    <cellStyle name="Style 1 2 2" xfId="924" xr:uid="{3279BF97-15E4-49C9-8A6C-821A3D885A14}"/>
    <cellStyle name="Style 1 2 3" xfId="925" xr:uid="{25C17FC8-07E8-4E04-8FC4-4CA7308C49F3}"/>
    <cellStyle name="Style 1 2 4" xfId="926" xr:uid="{49D72F64-F0CE-4F3B-8AF0-EE5FF50C1FAF}"/>
    <cellStyle name="Style 1 2 5" xfId="927" xr:uid="{F2950815-4566-4EF1-9528-249DC5D86915}"/>
    <cellStyle name="Style 1 2 6" xfId="928" xr:uid="{D0DCC9B1-1EBB-459A-A32F-D26B9CF3164E}"/>
    <cellStyle name="Style 1 2_CDO Pricer (Bespoke Pricing using Base Correlations)" xfId="929" xr:uid="{5D76C104-FA07-4BC3-B01B-08B265CBBE57}"/>
    <cellStyle name="Style 1 3" xfId="930" xr:uid="{86E6C133-9145-451A-8632-1C4CF4950461}"/>
    <cellStyle name="Style 1 4" xfId="931" xr:uid="{2CEB5DCF-CDAC-46F5-AB9E-3DF17C563D6A}"/>
    <cellStyle name="Style 1 4 2" xfId="932" xr:uid="{3992C3A7-79C9-4DDA-A98C-FD5A1CA9C89A}"/>
    <cellStyle name="Style 1 5" xfId="933" xr:uid="{90DADABB-DEFA-467E-AC33-4D334AC7E350}"/>
    <cellStyle name="Style 1 6" xfId="934" xr:uid="{D2EE3E30-15AD-4E44-9D76-0BE451637EB6}"/>
    <cellStyle name="Style 1 7" xfId="935" xr:uid="{997222E1-ED6F-40D9-8C50-8B960AC76AAD}"/>
    <cellStyle name="Style 1 8" xfId="936" xr:uid="{AA64CF8D-BD5D-45A7-91F7-57E1B121B840}"/>
    <cellStyle name="Style 1 9" xfId="937" xr:uid="{ECA5C40D-EEC1-4BE7-A293-CFF4606A3929}"/>
    <cellStyle name="swaptn" xfId="938" xr:uid="{9819E9EA-EAB4-4B7E-A275-F0CC67F87FD0}"/>
    <cellStyle name="TableDataColumn" xfId="939" xr:uid="{C52BE2C9-2DE6-42B8-AF36-4A8D98EA4D42}"/>
    <cellStyle name="TableDataRow" xfId="940" xr:uid="{36CAE53D-362C-454F-9053-9699D742A074}"/>
    <cellStyle name="TableLabelColumn" xfId="941" xr:uid="{E01488A9-77B7-4F84-8B72-16A89EF8421D}"/>
    <cellStyle name="TableLabelRow" xfId="942" xr:uid="{ECB1FC19-B338-447F-8B89-E6382F2E9514}"/>
    <cellStyle name="TableLabelTop" xfId="943" xr:uid="{3B915FA7-ABF8-41D5-A5D0-9511D43C1BF4}"/>
    <cellStyle name="Total 2" xfId="944" xr:uid="{96FDFD77-E9CB-48F7-8485-755ABA3DD382}"/>
    <cellStyle name="Total 2 2" xfId="945" xr:uid="{E0A8E87F-064D-44C0-B0DD-D79AE5FC6384}"/>
    <cellStyle name="Total 2 3" xfId="946" xr:uid="{14D8A213-3928-4F2D-BB3E-61B2BEEEC6B3}"/>
    <cellStyle name="Total 2 4" xfId="947" xr:uid="{D5B7FE00-2AA7-4E11-B2E7-E7B97939BE05}"/>
    <cellStyle name="Total 2 5" xfId="948" xr:uid="{A37F24BE-1B64-4167-B954-7ADD1081593D}"/>
    <cellStyle name="Total 2 6" xfId="949" xr:uid="{10D761DA-4000-4CE4-B4C4-0224F2128752}"/>
    <cellStyle name="Total 2 7" xfId="950" xr:uid="{9702DA20-09D0-483A-8EE4-4911273BF493}"/>
    <cellStyle name="Total 3" xfId="951" xr:uid="{D324BFD5-C050-4AA3-8AF1-AB2B2E199F0C}"/>
    <cellStyle name="Total 3 2" xfId="952" xr:uid="{87D8626C-DB46-4DC4-B44F-E34DA15D3A77}"/>
    <cellStyle name="Total 3 2 2" xfId="953" xr:uid="{851528E8-0FBB-4129-8DF4-65CFE0B3E386}"/>
    <cellStyle name="Total 3 3" xfId="954" xr:uid="{9D50F88D-C14F-43D6-90CB-02822E92A353}"/>
    <cellStyle name="Total 3 4" xfId="955" xr:uid="{8F98CCF8-896E-479C-B565-4C7F68C1645E}"/>
    <cellStyle name="Total 3 5" xfId="956" xr:uid="{2D5A9552-61BC-40BF-9774-1BD717123317}"/>
    <cellStyle name="Total 3 6" xfId="957" xr:uid="{C410B5DA-0003-40E8-8E74-E01D541E2271}"/>
    <cellStyle name="Total 4" xfId="958" xr:uid="{3E048EC4-E54A-460B-B0B3-572725F1DE04}"/>
    <cellStyle name="桁区切り_NewDemo" xfId="959" xr:uid="{42F2F84D-F8B1-4E9F-81AA-92CF6FBF2951}"/>
    <cellStyle name="標準_NewDemo" xfId="960" xr:uid="{992E174B-0006-4775-B10B-F742311D64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'Credit Portfolio'!$N$5</c:f>
              <c:strCache>
                <c:ptCount val="1"/>
                <c:pt idx="0">
                  <c:v>Monte Carlo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'Credit Portfolio'!$M$6:$M$427</c:f>
              <c:numCache>
                <c:formatCode>General</c:formatCode>
                <c:ptCount val="422"/>
                <c:pt idx="0">
                  <c:v>0</c:v>
                </c:pt>
                <c:pt idx="1">
                  <c:v>150</c:v>
                </c:pt>
                <c:pt idx="2">
                  <c:v>450</c:v>
                </c:pt>
                <c:pt idx="3">
                  <c:v>750</c:v>
                </c:pt>
                <c:pt idx="4">
                  <c:v>1050</c:v>
                </c:pt>
                <c:pt idx="5">
                  <c:v>1350.0000000000002</c:v>
                </c:pt>
                <c:pt idx="6">
                  <c:v>1650.0000000000002</c:v>
                </c:pt>
                <c:pt idx="7">
                  <c:v>1950.0000000000002</c:v>
                </c:pt>
                <c:pt idx="8">
                  <c:v>2250</c:v>
                </c:pt>
                <c:pt idx="9">
                  <c:v>2550</c:v>
                </c:pt>
                <c:pt idx="10">
                  <c:v>2850.0000000000005</c:v>
                </c:pt>
                <c:pt idx="11">
                  <c:v>3150.0000000000009</c:v>
                </c:pt>
                <c:pt idx="12">
                  <c:v>3450.0000000000009</c:v>
                </c:pt>
                <c:pt idx="13">
                  <c:v>3750.0000000000014</c:v>
                </c:pt>
                <c:pt idx="14">
                  <c:v>4050.0000000000014</c:v>
                </c:pt>
                <c:pt idx="15">
                  <c:v>4350.0000000000018</c:v>
                </c:pt>
                <c:pt idx="16">
                  <c:v>4650.0000000000018</c:v>
                </c:pt>
                <c:pt idx="17">
                  <c:v>4950.0000000000027</c:v>
                </c:pt>
                <c:pt idx="18">
                  <c:v>5250.0000000000027</c:v>
                </c:pt>
                <c:pt idx="19">
                  <c:v>5550.0000000000027</c:v>
                </c:pt>
                <c:pt idx="20">
                  <c:v>5850.0000000000027</c:v>
                </c:pt>
                <c:pt idx="21">
                  <c:v>6150.0000000000036</c:v>
                </c:pt>
                <c:pt idx="22">
                  <c:v>6450.0000000000036</c:v>
                </c:pt>
                <c:pt idx="23">
                  <c:v>6750.0000000000036</c:v>
                </c:pt>
                <c:pt idx="24">
                  <c:v>7050.0000000000045</c:v>
                </c:pt>
                <c:pt idx="25">
                  <c:v>7350.0000000000045</c:v>
                </c:pt>
                <c:pt idx="26">
                  <c:v>7650.0000000000045</c:v>
                </c:pt>
                <c:pt idx="27">
                  <c:v>7950.0000000000045</c:v>
                </c:pt>
                <c:pt idx="28">
                  <c:v>8250.0000000000055</c:v>
                </c:pt>
                <c:pt idx="29">
                  <c:v>8550.0000000000055</c:v>
                </c:pt>
                <c:pt idx="30">
                  <c:v>8850.0000000000055</c:v>
                </c:pt>
                <c:pt idx="31">
                  <c:v>9150.0000000000055</c:v>
                </c:pt>
                <c:pt idx="32">
                  <c:v>9450.0000000000055</c:v>
                </c:pt>
                <c:pt idx="33">
                  <c:v>9750.0000000000073</c:v>
                </c:pt>
                <c:pt idx="34">
                  <c:v>10050.000000000007</c:v>
                </c:pt>
                <c:pt idx="35">
                  <c:v>10350.000000000007</c:v>
                </c:pt>
                <c:pt idx="36">
                  <c:v>10650.000000000007</c:v>
                </c:pt>
                <c:pt idx="37">
                  <c:v>10950.000000000007</c:v>
                </c:pt>
                <c:pt idx="38">
                  <c:v>11250.000000000007</c:v>
                </c:pt>
                <c:pt idx="39">
                  <c:v>11550.000000000007</c:v>
                </c:pt>
                <c:pt idx="40">
                  <c:v>11850.000000000009</c:v>
                </c:pt>
                <c:pt idx="41">
                  <c:v>12150.000000000009</c:v>
                </c:pt>
                <c:pt idx="42">
                  <c:v>12450.000000000009</c:v>
                </c:pt>
                <c:pt idx="43">
                  <c:v>12750.000000000009</c:v>
                </c:pt>
                <c:pt idx="44">
                  <c:v>13050.000000000009</c:v>
                </c:pt>
                <c:pt idx="45">
                  <c:v>13350.000000000009</c:v>
                </c:pt>
                <c:pt idx="46">
                  <c:v>13650.000000000011</c:v>
                </c:pt>
                <c:pt idx="47">
                  <c:v>13950.000000000011</c:v>
                </c:pt>
                <c:pt idx="48">
                  <c:v>14250.000000000011</c:v>
                </c:pt>
                <c:pt idx="49">
                  <c:v>14550.000000000011</c:v>
                </c:pt>
                <c:pt idx="50">
                  <c:v>14850.000000000011</c:v>
                </c:pt>
                <c:pt idx="51">
                  <c:v>15150.000000000011</c:v>
                </c:pt>
                <c:pt idx="52">
                  <c:v>15450.000000000011</c:v>
                </c:pt>
                <c:pt idx="53">
                  <c:v>15750.000000000013</c:v>
                </c:pt>
                <c:pt idx="54">
                  <c:v>16050.000000000013</c:v>
                </c:pt>
                <c:pt idx="55">
                  <c:v>16350.000000000013</c:v>
                </c:pt>
                <c:pt idx="56">
                  <c:v>16650.000000000011</c:v>
                </c:pt>
                <c:pt idx="57">
                  <c:v>16950.000000000015</c:v>
                </c:pt>
                <c:pt idx="58">
                  <c:v>17250.000000000015</c:v>
                </c:pt>
                <c:pt idx="59">
                  <c:v>17550.000000000015</c:v>
                </c:pt>
                <c:pt idx="60">
                  <c:v>17850.000000000015</c:v>
                </c:pt>
                <c:pt idx="61">
                  <c:v>18150.000000000015</c:v>
                </c:pt>
                <c:pt idx="62">
                  <c:v>18450.000000000015</c:v>
                </c:pt>
                <c:pt idx="63">
                  <c:v>18750.000000000011</c:v>
                </c:pt>
                <c:pt idx="64">
                  <c:v>19050.000000000015</c:v>
                </c:pt>
                <c:pt idx="65">
                  <c:v>19350.000000000015</c:v>
                </c:pt>
                <c:pt idx="66">
                  <c:v>19650.000000000015</c:v>
                </c:pt>
                <c:pt idx="67">
                  <c:v>19950.000000000015</c:v>
                </c:pt>
                <c:pt idx="68">
                  <c:v>20250.000000000015</c:v>
                </c:pt>
                <c:pt idx="69">
                  <c:v>20550.000000000015</c:v>
                </c:pt>
                <c:pt idx="70">
                  <c:v>20850.000000000015</c:v>
                </c:pt>
                <c:pt idx="71">
                  <c:v>21150.000000000015</c:v>
                </c:pt>
                <c:pt idx="72">
                  <c:v>21450.000000000015</c:v>
                </c:pt>
                <c:pt idx="73">
                  <c:v>21750.000000000015</c:v>
                </c:pt>
                <c:pt idx="74">
                  <c:v>22050.000000000015</c:v>
                </c:pt>
                <c:pt idx="75">
                  <c:v>22350.000000000015</c:v>
                </c:pt>
                <c:pt idx="76">
                  <c:v>22650.000000000015</c:v>
                </c:pt>
                <c:pt idx="77">
                  <c:v>22950.000000000015</c:v>
                </c:pt>
                <c:pt idx="78">
                  <c:v>23250.000000000018</c:v>
                </c:pt>
                <c:pt idx="79">
                  <c:v>23550.000000000018</c:v>
                </c:pt>
                <c:pt idx="80">
                  <c:v>23850.000000000018</c:v>
                </c:pt>
                <c:pt idx="81">
                  <c:v>24150.000000000018</c:v>
                </c:pt>
                <c:pt idx="82">
                  <c:v>24450.000000000018</c:v>
                </c:pt>
                <c:pt idx="83">
                  <c:v>24750.000000000018</c:v>
                </c:pt>
                <c:pt idx="84">
                  <c:v>25050.000000000018</c:v>
                </c:pt>
                <c:pt idx="85">
                  <c:v>25350.000000000018</c:v>
                </c:pt>
                <c:pt idx="86">
                  <c:v>25650.000000000018</c:v>
                </c:pt>
                <c:pt idx="87">
                  <c:v>25950.000000000018</c:v>
                </c:pt>
                <c:pt idx="88">
                  <c:v>26250.000000000018</c:v>
                </c:pt>
                <c:pt idx="89">
                  <c:v>26550.000000000018</c:v>
                </c:pt>
                <c:pt idx="90">
                  <c:v>26850.000000000018</c:v>
                </c:pt>
                <c:pt idx="91">
                  <c:v>27150.000000000018</c:v>
                </c:pt>
                <c:pt idx="92">
                  <c:v>27450.000000000022</c:v>
                </c:pt>
                <c:pt idx="93">
                  <c:v>27750.000000000022</c:v>
                </c:pt>
                <c:pt idx="94">
                  <c:v>28050.000000000022</c:v>
                </c:pt>
                <c:pt idx="95">
                  <c:v>28350.000000000022</c:v>
                </c:pt>
                <c:pt idx="96">
                  <c:v>28650.000000000022</c:v>
                </c:pt>
                <c:pt idx="97">
                  <c:v>28950.000000000022</c:v>
                </c:pt>
                <c:pt idx="98">
                  <c:v>29250.000000000022</c:v>
                </c:pt>
                <c:pt idx="99">
                  <c:v>29550.000000000022</c:v>
                </c:pt>
                <c:pt idx="100">
                  <c:v>29850.000000000022</c:v>
                </c:pt>
                <c:pt idx="101">
                  <c:v>30150.000000000022</c:v>
                </c:pt>
                <c:pt idx="102">
                  <c:v>30450.000000000022</c:v>
                </c:pt>
                <c:pt idx="103">
                  <c:v>30750.000000000022</c:v>
                </c:pt>
                <c:pt idx="104">
                  <c:v>31050.000000000022</c:v>
                </c:pt>
                <c:pt idx="105">
                  <c:v>31350.000000000025</c:v>
                </c:pt>
                <c:pt idx="106">
                  <c:v>31650.000000000025</c:v>
                </c:pt>
                <c:pt idx="107">
                  <c:v>31950.000000000025</c:v>
                </c:pt>
                <c:pt idx="108">
                  <c:v>32250.000000000025</c:v>
                </c:pt>
                <c:pt idx="109">
                  <c:v>32550.000000000025</c:v>
                </c:pt>
                <c:pt idx="110">
                  <c:v>32850.000000000022</c:v>
                </c:pt>
                <c:pt idx="111">
                  <c:v>33150.000000000022</c:v>
                </c:pt>
                <c:pt idx="112">
                  <c:v>33450.000000000029</c:v>
                </c:pt>
                <c:pt idx="113">
                  <c:v>33750.000000000029</c:v>
                </c:pt>
                <c:pt idx="114">
                  <c:v>34050.000000000029</c:v>
                </c:pt>
                <c:pt idx="115">
                  <c:v>34350.000000000029</c:v>
                </c:pt>
                <c:pt idx="116">
                  <c:v>34650.000000000029</c:v>
                </c:pt>
                <c:pt idx="117">
                  <c:v>34950.000000000029</c:v>
                </c:pt>
                <c:pt idx="118">
                  <c:v>35250.000000000029</c:v>
                </c:pt>
                <c:pt idx="119">
                  <c:v>35550.000000000029</c:v>
                </c:pt>
                <c:pt idx="120">
                  <c:v>35850.000000000029</c:v>
                </c:pt>
                <c:pt idx="121">
                  <c:v>36150.000000000029</c:v>
                </c:pt>
                <c:pt idx="122">
                  <c:v>36450.000000000029</c:v>
                </c:pt>
                <c:pt idx="123">
                  <c:v>36750.000000000029</c:v>
                </c:pt>
                <c:pt idx="124">
                  <c:v>37050.000000000029</c:v>
                </c:pt>
                <c:pt idx="125">
                  <c:v>37350.000000000029</c:v>
                </c:pt>
                <c:pt idx="126">
                  <c:v>37650.000000000022</c:v>
                </c:pt>
                <c:pt idx="127">
                  <c:v>37950.000000000022</c:v>
                </c:pt>
                <c:pt idx="128">
                  <c:v>38250.000000000029</c:v>
                </c:pt>
                <c:pt idx="129">
                  <c:v>38550.000000000029</c:v>
                </c:pt>
                <c:pt idx="130">
                  <c:v>38850.000000000029</c:v>
                </c:pt>
                <c:pt idx="131">
                  <c:v>39150.000000000029</c:v>
                </c:pt>
                <c:pt idx="132">
                  <c:v>39450.000000000029</c:v>
                </c:pt>
                <c:pt idx="133">
                  <c:v>39750.000000000029</c:v>
                </c:pt>
                <c:pt idx="134">
                  <c:v>40050.000000000029</c:v>
                </c:pt>
                <c:pt idx="135">
                  <c:v>40350.000000000029</c:v>
                </c:pt>
                <c:pt idx="136">
                  <c:v>40650.000000000029</c:v>
                </c:pt>
                <c:pt idx="137">
                  <c:v>40950.000000000029</c:v>
                </c:pt>
                <c:pt idx="138">
                  <c:v>41250.000000000029</c:v>
                </c:pt>
                <c:pt idx="139">
                  <c:v>41550.000000000029</c:v>
                </c:pt>
                <c:pt idx="140">
                  <c:v>41850.000000000029</c:v>
                </c:pt>
                <c:pt idx="141">
                  <c:v>42150.000000000029</c:v>
                </c:pt>
                <c:pt idx="142">
                  <c:v>42450.000000000029</c:v>
                </c:pt>
                <c:pt idx="143">
                  <c:v>42750.000000000029</c:v>
                </c:pt>
                <c:pt idx="144">
                  <c:v>43050.000000000029</c:v>
                </c:pt>
                <c:pt idx="145">
                  <c:v>43350.000000000029</c:v>
                </c:pt>
                <c:pt idx="146">
                  <c:v>43650.000000000029</c:v>
                </c:pt>
                <c:pt idx="147">
                  <c:v>43950.000000000029</c:v>
                </c:pt>
                <c:pt idx="148">
                  <c:v>44250.000000000029</c:v>
                </c:pt>
                <c:pt idx="149">
                  <c:v>44550.000000000029</c:v>
                </c:pt>
                <c:pt idx="150">
                  <c:v>44850.000000000029</c:v>
                </c:pt>
                <c:pt idx="151">
                  <c:v>45150.000000000029</c:v>
                </c:pt>
                <c:pt idx="152">
                  <c:v>45450.000000000029</c:v>
                </c:pt>
                <c:pt idx="153">
                  <c:v>45750.000000000029</c:v>
                </c:pt>
                <c:pt idx="154">
                  <c:v>46050.000000000029</c:v>
                </c:pt>
                <c:pt idx="155">
                  <c:v>46350.000000000036</c:v>
                </c:pt>
                <c:pt idx="156">
                  <c:v>46650.000000000036</c:v>
                </c:pt>
                <c:pt idx="157">
                  <c:v>46950.000000000036</c:v>
                </c:pt>
                <c:pt idx="158">
                  <c:v>47250.000000000036</c:v>
                </c:pt>
                <c:pt idx="159">
                  <c:v>47550.000000000036</c:v>
                </c:pt>
                <c:pt idx="160">
                  <c:v>47850.000000000036</c:v>
                </c:pt>
                <c:pt idx="161">
                  <c:v>48150.000000000036</c:v>
                </c:pt>
                <c:pt idx="162">
                  <c:v>48450.000000000036</c:v>
                </c:pt>
                <c:pt idx="163">
                  <c:v>48750.000000000036</c:v>
                </c:pt>
                <c:pt idx="164">
                  <c:v>49050.000000000036</c:v>
                </c:pt>
                <c:pt idx="165">
                  <c:v>49350.000000000036</c:v>
                </c:pt>
                <c:pt idx="166">
                  <c:v>49650.000000000036</c:v>
                </c:pt>
                <c:pt idx="167">
                  <c:v>49950.000000000036</c:v>
                </c:pt>
                <c:pt idx="168">
                  <c:v>50250.000000000036</c:v>
                </c:pt>
                <c:pt idx="169">
                  <c:v>50550.000000000036</c:v>
                </c:pt>
                <c:pt idx="170">
                  <c:v>50850.000000000036</c:v>
                </c:pt>
                <c:pt idx="171">
                  <c:v>51150.000000000036</c:v>
                </c:pt>
                <c:pt idx="172">
                  <c:v>51450.000000000036</c:v>
                </c:pt>
                <c:pt idx="173">
                  <c:v>51750.000000000036</c:v>
                </c:pt>
                <c:pt idx="174">
                  <c:v>52050.000000000036</c:v>
                </c:pt>
                <c:pt idx="175">
                  <c:v>52350.000000000036</c:v>
                </c:pt>
                <c:pt idx="176">
                  <c:v>52650.000000000036</c:v>
                </c:pt>
                <c:pt idx="177">
                  <c:v>52950.000000000036</c:v>
                </c:pt>
                <c:pt idx="178">
                  <c:v>53250.000000000036</c:v>
                </c:pt>
                <c:pt idx="179">
                  <c:v>53550.000000000036</c:v>
                </c:pt>
                <c:pt idx="180">
                  <c:v>53850.000000000036</c:v>
                </c:pt>
                <c:pt idx="181">
                  <c:v>54150.000000000036</c:v>
                </c:pt>
                <c:pt idx="182">
                  <c:v>54450.000000000044</c:v>
                </c:pt>
                <c:pt idx="183">
                  <c:v>54750.000000000044</c:v>
                </c:pt>
                <c:pt idx="184">
                  <c:v>55050.000000000044</c:v>
                </c:pt>
                <c:pt idx="185">
                  <c:v>55350.000000000044</c:v>
                </c:pt>
                <c:pt idx="186">
                  <c:v>55650.000000000044</c:v>
                </c:pt>
                <c:pt idx="187">
                  <c:v>55950.000000000044</c:v>
                </c:pt>
                <c:pt idx="188">
                  <c:v>56250.000000000044</c:v>
                </c:pt>
                <c:pt idx="189">
                  <c:v>56550.000000000044</c:v>
                </c:pt>
                <c:pt idx="190">
                  <c:v>56850.000000000044</c:v>
                </c:pt>
                <c:pt idx="191">
                  <c:v>57150.000000000044</c:v>
                </c:pt>
                <c:pt idx="192">
                  <c:v>57450.000000000044</c:v>
                </c:pt>
                <c:pt idx="193">
                  <c:v>57750.000000000044</c:v>
                </c:pt>
                <c:pt idx="194">
                  <c:v>58050.000000000044</c:v>
                </c:pt>
                <c:pt idx="195">
                  <c:v>58350.000000000044</c:v>
                </c:pt>
                <c:pt idx="196">
                  <c:v>58650.000000000044</c:v>
                </c:pt>
                <c:pt idx="197">
                  <c:v>58950.000000000044</c:v>
                </c:pt>
                <c:pt idx="198">
                  <c:v>59250.000000000044</c:v>
                </c:pt>
                <c:pt idx="199">
                  <c:v>59550.000000000044</c:v>
                </c:pt>
                <c:pt idx="200">
                  <c:v>59850.000000000044</c:v>
                </c:pt>
                <c:pt idx="201">
                  <c:v>60150.000000000044</c:v>
                </c:pt>
                <c:pt idx="202">
                  <c:v>60450.000000000044</c:v>
                </c:pt>
                <c:pt idx="203">
                  <c:v>60750.000000000044</c:v>
                </c:pt>
                <c:pt idx="204">
                  <c:v>61050.000000000044</c:v>
                </c:pt>
                <c:pt idx="205">
                  <c:v>61350.000000000044</c:v>
                </c:pt>
                <c:pt idx="206">
                  <c:v>61650.000000000044</c:v>
                </c:pt>
                <c:pt idx="207">
                  <c:v>61950.000000000044</c:v>
                </c:pt>
                <c:pt idx="208">
                  <c:v>62250.000000000044</c:v>
                </c:pt>
                <c:pt idx="209">
                  <c:v>62550.000000000044</c:v>
                </c:pt>
                <c:pt idx="210">
                  <c:v>62850.000000000051</c:v>
                </c:pt>
                <c:pt idx="211">
                  <c:v>63150.000000000051</c:v>
                </c:pt>
                <c:pt idx="212">
                  <c:v>63450.000000000051</c:v>
                </c:pt>
                <c:pt idx="213">
                  <c:v>63750.000000000051</c:v>
                </c:pt>
                <c:pt idx="214">
                  <c:v>64050.000000000051</c:v>
                </c:pt>
                <c:pt idx="215">
                  <c:v>64350.000000000051</c:v>
                </c:pt>
                <c:pt idx="216">
                  <c:v>64650.000000000051</c:v>
                </c:pt>
                <c:pt idx="217">
                  <c:v>64950.000000000051</c:v>
                </c:pt>
                <c:pt idx="218">
                  <c:v>65250.000000000051</c:v>
                </c:pt>
                <c:pt idx="219">
                  <c:v>65550.000000000044</c:v>
                </c:pt>
                <c:pt idx="220">
                  <c:v>65850.000000000044</c:v>
                </c:pt>
                <c:pt idx="221">
                  <c:v>66150.000000000044</c:v>
                </c:pt>
                <c:pt idx="222">
                  <c:v>66450.000000000044</c:v>
                </c:pt>
                <c:pt idx="223">
                  <c:v>66750.000000000058</c:v>
                </c:pt>
                <c:pt idx="224">
                  <c:v>67050.000000000058</c:v>
                </c:pt>
                <c:pt idx="225">
                  <c:v>67350.000000000058</c:v>
                </c:pt>
                <c:pt idx="226">
                  <c:v>67650.000000000058</c:v>
                </c:pt>
                <c:pt idx="227">
                  <c:v>67950.000000000058</c:v>
                </c:pt>
                <c:pt idx="228">
                  <c:v>68250.000000000058</c:v>
                </c:pt>
                <c:pt idx="229">
                  <c:v>68550.000000000058</c:v>
                </c:pt>
                <c:pt idx="230">
                  <c:v>68850.000000000058</c:v>
                </c:pt>
                <c:pt idx="231">
                  <c:v>69150.000000000058</c:v>
                </c:pt>
                <c:pt idx="232">
                  <c:v>69450.000000000058</c:v>
                </c:pt>
                <c:pt idx="233">
                  <c:v>69750.000000000058</c:v>
                </c:pt>
                <c:pt idx="234">
                  <c:v>70050.000000000058</c:v>
                </c:pt>
                <c:pt idx="235">
                  <c:v>70350.000000000058</c:v>
                </c:pt>
                <c:pt idx="236">
                  <c:v>70650.000000000058</c:v>
                </c:pt>
                <c:pt idx="237">
                  <c:v>70950.000000000058</c:v>
                </c:pt>
                <c:pt idx="238">
                  <c:v>71250.000000000058</c:v>
                </c:pt>
                <c:pt idx="239">
                  <c:v>71550.000000000058</c:v>
                </c:pt>
                <c:pt idx="240">
                  <c:v>71850.000000000058</c:v>
                </c:pt>
                <c:pt idx="241">
                  <c:v>72150.000000000058</c:v>
                </c:pt>
                <c:pt idx="242">
                  <c:v>72450.000000000058</c:v>
                </c:pt>
                <c:pt idx="243">
                  <c:v>72750.000000000058</c:v>
                </c:pt>
                <c:pt idx="244">
                  <c:v>73050.000000000058</c:v>
                </c:pt>
                <c:pt idx="245">
                  <c:v>73350.000000000058</c:v>
                </c:pt>
                <c:pt idx="246">
                  <c:v>73650.000000000058</c:v>
                </c:pt>
                <c:pt idx="247">
                  <c:v>73950.000000000058</c:v>
                </c:pt>
                <c:pt idx="248">
                  <c:v>74250.000000000058</c:v>
                </c:pt>
                <c:pt idx="249">
                  <c:v>74550.000000000058</c:v>
                </c:pt>
                <c:pt idx="250">
                  <c:v>74850.000000000058</c:v>
                </c:pt>
                <c:pt idx="251">
                  <c:v>75150.000000000044</c:v>
                </c:pt>
                <c:pt idx="252">
                  <c:v>75450.000000000044</c:v>
                </c:pt>
                <c:pt idx="253">
                  <c:v>75750.000000000044</c:v>
                </c:pt>
                <c:pt idx="254">
                  <c:v>76050.000000000044</c:v>
                </c:pt>
                <c:pt idx="255">
                  <c:v>76350.000000000058</c:v>
                </c:pt>
                <c:pt idx="256">
                  <c:v>76650.000000000058</c:v>
                </c:pt>
                <c:pt idx="257">
                  <c:v>76950.000000000058</c:v>
                </c:pt>
                <c:pt idx="258">
                  <c:v>77250.000000000058</c:v>
                </c:pt>
                <c:pt idx="259">
                  <c:v>77550.000000000058</c:v>
                </c:pt>
                <c:pt idx="260">
                  <c:v>77850.000000000058</c:v>
                </c:pt>
                <c:pt idx="261">
                  <c:v>78150.000000000058</c:v>
                </c:pt>
                <c:pt idx="262">
                  <c:v>78450.000000000058</c:v>
                </c:pt>
                <c:pt idx="263">
                  <c:v>78750.000000000058</c:v>
                </c:pt>
                <c:pt idx="264">
                  <c:v>79050.000000000058</c:v>
                </c:pt>
                <c:pt idx="265">
                  <c:v>79350.000000000058</c:v>
                </c:pt>
                <c:pt idx="266">
                  <c:v>79650.000000000058</c:v>
                </c:pt>
                <c:pt idx="267">
                  <c:v>79950.000000000058</c:v>
                </c:pt>
                <c:pt idx="268">
                  <c:v>80250.000000000058</c:v>
                </c:pt>
                <c:pt idx="269">
                  <c:v>80550.000000000058</c:v>
                </c:pt>
                <c:pt idx="270">
                  <c:v>80850.000000000058</c:v>
                </c:pt>
                <c:pt idx="271">
                  <c:v>81150.000000000058</c:v>
                </c:pt>
                <c:pt idx="272">
                  <c:v>81450.000000000058</c:v>
                </c:pt>
                <c:pt idx="273">
                  <c:v>81750.000000000058</c:v>
                </c:pt>
                <c:pt idx="274">
                  <c:v>82050.000000000058</c:v>
                </c:pt>
                <c:pt idx="275">
                  <c:v>82350.000000000058</c:v>
                </c:pt>
                <c:pt idx="276">
                  <c:v>82650.000000000058</c:v>
                </c:pt>
                <c:pt idx="277">
                  <c:v>82950.000000000058</c:v>
                </c:pt>
                <c:pt idx="278">
                  <c:v>83250.000000000058</c:v>
                </c:pt>
                <c:pt idx="279">
                  <c:v>83550.000000000058</c:v>
                </c:pt>
                <c:pt idx="280">
                  <c:v>83850.000000000058</c:v>
                </c:pt>
                <c:pt idx="281">
                  <c:v>84150.000000000058</c:v>
                </c:pt>
                <c:pt idx="282">
                  <c:v>84450.000000000058</c:v>
                </c:pt>
                <c:pt idx="283">
                  <c:v>84750.000000000058</c:v>
                </c:pt>
                <c:pt idx="284">
                  <c:v>85050.000000000058</c:v>
                </c:pt>
                <c:pt idx="285">
                  <c:v>85350.000000000058</c:v>
                </c:pt>
                <c:pt idx="286">
                  <c:v>85650.000000000058</c:v>
                </c:pt>
                <c:pt idx="287">
                  <c:v>85950.000000000058</c:v>
                </c:pt>
                <c:pt idx="288">
                  <c:v>86250.000000000058</c:v>
                </c:pt>
                <c:pt idx="289">
                  <c:v>86550.000000000058</c:v>
                </c:pt>
                <c:pt idx="290">
                  <c:v>86850.000000000058</c:v>
                </c:pt>
                <c:pt idx="291">
                  <c:v>87150.000000000058</c:v>
                </c:pt>
                <c:pt idx="292">
                  <c:v>87450.000000000058</c:v>
                </c:pt>
                <c:pt idx="293">
                  <c:v>87750.000000000058</c:v>
                </c:pt>
                <c:pt idx="294">
                  <c:v>88050.000000000058</c:v>
                </c:pt>
                <c:pt idx="295">
                  <c:v>88350.000000000058</c:v>
                </c:pt>
                <c:pt idx="296">
                  <c:v>88650.000000000058</c:v>
                </c:pt>
                <c:pt idx="297">
                  <c:v>88950.000000000058</c:v>
                </c:pt>
                <c:pt idx="298">
                  <c:v>89250.000000000058</c:v>
                </c:pt>
                <c:pt idx="299">
                  <c:v>89550.000000000058</c:v>
                </c:pt>
                <c:pt idx="300">
                  <c:v>89850.000000000058</c:v>
                </c:pt>
                <c:pt idx="301">
                  <c:v>90150.000000000058</c:v>
                </c:pt>
                <c:pt idx="302">
                  <c:v>90450.000000000058</c:v>
                </c:pt>
                <c:pt idx="303">
                  <c:v>90750.000000000058</c:v>
                </c:pt>
                <c:pt idx="304">
                  <c:v>91050.000000000058</c:v>
                </c:pt>
                <c:pt idx="305">
                  <c:v>91350.000000000058</c:v>
                </c:pt>
                <c:pt idx="306">
                  <c:v>91650.000000000058</c:v>
                </c:pt>
                <c:pt idx="307">
                  <c:v>91950.000000000058</c:v>
                </c:pt>
                <c:pt idx="308">
                  <c:v>92250.000000000058</c:v>
                </c:pt>
                <c:pt idx="309">
                  <c:v>92550.000000000073</c:v>
                </c:pt>
                <c:pt idx="310">
                  <c:v>92850.000000000073</c:v>
                </c:pt>
                <c:pt idx="311">
                  <c:v>93150.000000000073</c:v>
                </c:pt>
                <c:pt idx="312">
                  <c:v>93450.000000000073</c:v>
                </c:pt>
                <c:pt idx="313">
                  <c:v>93750.000000000073</c:v>
                </c:pt>
                <c:pt idx="314">
                  <c:v>94050.000000000073</c:v>
                </c:pt>
                <c:pt idx="315">
                  <c:v>94350.000000000073</c:v>
                </c:pt>
                <c:pt idx="316">
                  <c:v>94650.000000000073</c:v>
                </c:pt>
                <c:pt idx="317">
                  <c:v>94950.000000000073</c:v>
                </c:pt>
                <c:pt idx="318">
                  <c:v>95250.000000000073</c:v>
                </c:pt>
                <c:pt idx="319">
                  <c:v>95550.000000000073</c:v>
                </c:pt>
                <c:pt idx="320">
                  <c:v>95850.000000000073</c:v>
                </c:pt>
                <c:pt idx="321">
                  <c:v>96150.000000000073</c:v>
                </c:pt>
                <c:pt idx="322">
                  <c:v>96450.000000000073</c:v>
                </c:pt>
                <c:pt idx="323">
                  <c:v>96750.000000000073</c:v>
                </c:pt>
                <c:pt idx="324">
                  <c:v>97050.000000000073</c:v>
                </c:pt>
                <c:pt idx="325">
                  <c:v>97350.000000000073</c:v>
                </c:pt>
                <c:pt idx="326">
                  <c:v>97650.000000000073</c:v>
                </c:pt>
                <c:pt idx="327">
                  <c:v>97950.000000000073</c:v>
                </c:pt>
                <c:pt idx="328">
                  <c:v>98250.000000000073</c:v>
                </c:pt>
                <c:pt idx="329">
                  <c:v>98550.000000000073</c:v>
                </c:pt>
                <c:pt idx="330">
                  <c:v>98850.000000000073</c:v>
                </c:pt>
                <c:pt idx="331">
                  <c:v>99150.000000000073</c:v>
                </c:pt>
                <c:pt idx="332">
                  <c:v>99450.000000000073</c:v>
                </c:pt>
                <c:pt idx="333">
                  <c:v>99750.000000000073</c:v>
                </c:pt>
                <c:pt idx="334">
                  <c:v>100050.00000000007</c:v>
                </c:pt>
                <c:pt idx="335">
                  <c:v>100350.00000000007</c:v>
                </c:pt>
                <c:pt idx="336">
                  <c:v>100650.00000000007</c:v>
                </c:pt>
                <c:pt idx="337">
                  <c:v>100950.00000000007</c:v>
                </c:pt>
                <c:pt idx="338">
                  <c:v>101250.00000000007</c:v>
                </c:pt>
                <c:pt idx="339">
                  <c:v>101550.00000000007</c:v>
                </c:pt>
                <c:pt idx="340">
                  <c:v>101850.00000000007</c:v>
                </c:pt>
                <c:pt idx="341">
                  <c:v>102150.00000000007</c:v>
                </c:pt>
                <c:pt idx="342">
                  <c:v>102450.00000000007</c:v>
                </c:pt>
                <c:pt idx="343">
                  <c:v>102750.00000000007</c:v>
                </c:pt>
                <c:pt idx="344">
                  <c:v>103050.00000000007</c:v>
                </c:pt>
                <c:pt idx="345">
                  <c:v>103350.00000000007</c:v>
                </c:pt>
                <c:pt idx="346">
                  <c:v>103650.00000000007</c:v>
                </c:pt>
                <c:pt idx="347">
                  <c:v>103950.00000000007</c:v>
                </c:pt>
                <c:pt idx="348">
                  <c:v>104250.00000000007</c:v>
                </c:pt>
                <c:pt idx="349">
                  <c:v>104550.00000000007</c:v>
                </c:pt>
                <c:pt idx="350">
                  <c:v>104850.00000000007</c:v>
                </c:pt>
                <c:pt idx="351">
                  <c:v>105150.00000000007</c:v>
                </c:pt>
                <c:pt idx="352">
                  <c:v>105450.00000000007</c:v>
                </c:pt>
                <c:pt idx="353">
                  <c:v>105750.00000000007</c:v>
                </c:pt>
                <c:pt idx="354">
                  <c:v>106050.00000000007</c:v>
                </c:pt>
                <c:pt idx="355">
                  <c:v>106350.00000000007</c:v>
                </c:pt>
                <c:pt idx="356">
                  <c:v>106650.00000000007</c:v>
                </c:pt>
                <c:pt idx="357">
                  <c:v>106950.00000000007</c:v>
                </c:pt>
                <c:pt idx="358">
                  <c:v>107250.00000000007</c:v>
                </c:pt>
                <c:pt idx="359">
                  <c:v>107550.00000000007</c:v>
                </c:pt>
                <c:pt idx="360">
                  <c:v>107850.00000000007</c:v>
                </c:pt>
                <c:pt idx="361">
                  <c:v>108150.00000000007</c:v>
                </c:pt>
                <c:pt idx="362">
                  <c:v>108450.00000000007</c:v>
                </c:pt>
                <c:pt idx="363">
                  <c:v>108750.00000000007</c:v>
                </c:pt>
                <c:pt idx="364">
                  <c:v>109050.00000000009</c:v>
                </c:pt>
                <c:pt idx="365">
                  <c:v>109350.00000000009</c:v>
                </c:pt>
                <c:pt idx="366">
                  <c:v>109650.00000000009</c:v>
                </c:pt>
                <c:pt idx="367">
                  <c:v>109950.00000000009</c:v>
                </c:pt>
                <c:pt idx="368">
                  <c:v>110250.00000000009</c:v>
                </c:pt>
                <c:pt idx="369">
                  <c:v>110550.00000000009</c:v>
                </c:pt>
                <c:pt idx="370">
                  <c:v>110850.00000000009</c:v>
                </c:pt>
                <c:pt idx="371">
                  <c:v>111150.00000000009</c:v>
                </c:pt>
                <c:pt idx="372">
                  <c:v>111450.00000000009</c:v>
                </c:pt>
                <c:pt idx="373">
                  <c:v>111750.00000000009</c:v>
                </c:pt>
                <c:pt idx="374">
                  <c:v>112050.00000000009</c:v>
                </c:pt>
                <c:pt idx="375">
                  <c:v>112350.00000000009</c:v>
                </c:pt>
                <c:pt idx="376">
                  <c:v>112650.00000000009</c:v>
                </c:pt>
                <c:pt idx="377">
                  <c:v>112950.00000000009</c:v>
                </c:pt>
                <c:pt idx="378">
                  <c:v>113250.00000000009</c:v>
                </c:pt>
                <c:pt idx="379">
                  <c:v>113550.00000000009</c:v>
                </c:pt>
                <c:pt idx="380">
                  <c:v>113850.00000000009</c:v>
                </c:pt>
                <c:pt idx="381">
                  <c:v>114150.00000000009</c:v>
                </c:pt>
                <c:pt idx="382">
                  <c:v>114450.00000000009</c:v>
                </c:pt>
                <c:pt idx="383">
                  <c:v>114750.00000000009</c:v>
                </c:pt>
                <c:pt idx="384">
                  <c:v>115050.00000000009</c:v>
                </c:pt>
                <c:pt idx="385">
                  <c:v>115350.00000000009</c:v>
                </c:pt>
                <c:pt idx="386">
                  <c:v>115650.00000000009</c:v>
                </c:pt>
                <c:pt idx="387">
                  <c:v>115950.00000000009</c:v>
                </c:pt>
                <c:pt idx="388">
                  <c:v>116250.00000000009</c:v>
                </c:pt>
                <c:pt idx="389">
                  <c:v>116550.00000000009</c:v>
                </c:pt>
                <c:pt idx="390">
                  <c:v>116850.00000000009</c:v>
                </c:pt>
                <c:pt idx="391">
                  <c:v>117150.00000000009</c:v>
                </c:pt>
                <c:pt idx="392">
                  <c:v>117450.00000000009</c:v>
                </c:pt>
                <c:pt idx="393">
                  <c:v>117750.00000000009</c:v>
                </c:pt>
                <c:pt idx="394">
                  <c:v>118050.00000000009</c:v>
                </c:pt>
                <c:pt idx="395">
                  <c:v>118350.00000000009</c:v>
                </c:pt>
                <c:pt idx="396">
                  <c:v>118650.00000000009</c:v>
                </c:pt>
                <c:pt idx="397">
                  <c:v>118950.00000000009</c:v>
                </c:pt>
                <c:pt idx="398">
                  <c:v>119250.00000000009</c:v>
                </c:pt>
                <c:pt idx="399">
                  <c:v>119550.00000000009</c:v>
                </c:pt>
                <c:pt idx="400">
                  <c:v>119850.00000000009</c:v>
                </c:pt>
                <c:pt idx="401">
                  <c:v>120150.00000000009</c:v>
                </c:pt>
                <c:pt idx="402">
                  <c:v>120450.00000000009</c:v>
                </c:pt>
                <c:pt idx="403">
                  <c:v>120750.00000000009</c:v>
                </c:pt>
                <c:pt idx="404">
                  <c:v>121050.00000000009</c:v>
                </c:pt>
                <c:pt idx="405">
                  <c:v>121350.00000000009</c:v>
                </c:pt>
                <c:pt idx="406">
                  <c:v>121650.00000000009</c:v>
                </c:pt>
                <c:pt idx="407">
                  <c:v>121950.00000000009</c:v>
                </c:pt>
                <c:pt idx="408">
                  <c:v>122250.00000000009</c:v>
                </c:pt>
                <c:pt idx="409">
                  <c:v>122550.00000000009</c:v>
                </c:pt>
                <c:pt idx="410">
                  <c:v>122850.00000000009</c:v>
                </c:pt>
                <c:pt idx="411">
                  <c:v>123150.00000000009</c:v>
                </c:pt>
                <c:pt idx="412">
                  <c:v>123450.00000000009</c:v>
                </c:pt>
                <c:pt idx="413">
                  <c:v>123750.00000000009</c:v>
                </c:pt>
                <c:pt idx="414">
                  <c:v>124050.00000000009</c:v>
                </c:pt>
                <c:pt idx="415">
                  <c:v>124350.00000000009</c:v>
                </c:pt>
                <c:pt idx="416">
                  <c:v>124650.00000000009</c:v>
                </c:pt>
                <c:pt idx="417">
                  <c:v>124950.00000000009</c:v>
                </c:pt>
                <c:pt idx="418">
                  <c:v>125250.00000000009</c:v>
                </c:pt>
                <c:pt idx="419">
                  <c:v>125550.0000000001</c:v>
                </c:pt>
                <c:pt idx="420">
                  <c:v>125850.0000000001</c:v>
                </c:pt>
                <c:pt idx="421">
                  <c:v>126150.0000000001</c:v>
                </c:pt>
              </c:numCache>
            </c:numRef>
          </c:xVal>
          <c:yVal>
            <c:numRef>
              <c:f>'Credit Portfolio'!$N$6:$N$427</c:f>
              <c:numCache>
                <c:formatCode>0.00000</c:formatCode>
                <c:ptCount val="4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 formatCode="0.000000">
                  <c:v>0</c:v>
                </c:pt>
                <c:pt idx="60" formatCode="0.000000">
                  <c:v>0</c:v>
                </c:pt>
                <c:pt idx="61" formatCode="0.000000">
                  <c:v>0</c:v>
                </c:pt>
                <c:pt idx="62" formatCode="0.000000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 formatCode="0.0000000">
                  <c:v>0</c:v>
                </c:pt>
                <c:pt idx="75" formatCode="0.00000000">
                  <c:v>0</c:v>
                </c:pt>
                <c:pt idx="76" formatCode="0.00000000">
                  <c:v>0</c:v>
                </c:pt>
                <c:pt idx="77" formatCode="0.00000000">
                  <c:v>0</c:v>
                </c:pt>
                <c:pt idx="78" formatCode="0.00000000">
                  <c:v>0</c:v>
                </c:pt>
                <c:pt idx="79" formatCode="0.00000000">
                  <c:v>0</c:v>
                </c:pt>
                <c:pt idx="80" formatCode="0.00000000">
                  <c:v>0</c:v>
                </c:pt>
                <c:pt idx="81" formatCode="0.00000000">
                  <c:v>0</c:v>
                </c:pt>
                <c:pt idx="82" formatCode="0.00000000">
                  <c:v>0</c:v>
                </c:pt>
                <c:pt idx="83" formatCode="0.00000000">
                  <c:v>0</c:v>
                </c:pt>
                <c:pt idx="84" formatCode="0.00000000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C7-4CFB-9808-8F454F30927F}"/>
            </c:ext>
          </c:extLst>
        </c:ser>
        <c:ser>
          <c:idx val="2"/>
          <c:order val="1"/>
          <c:tx>
            <c:strRef>
              <c:f>'Credit Portfolio'!$O$5</c:f>
              <c:strCache>
                <c:ptCount val="1"/>
                <c:pt idx="0">
                  <c:v>Conditional Normal Approximation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'Credit Portfolio'!$M$6:$M$427</c:f>
              <c:numCache>
                <c:formatCode>General</c:formatCode>
                <c:ptCount val="422"/>
                <c:pt idx="0">
                  <c:v>0</c:v>
                </c:pt>
                <c:pt idx="1">
                  <c:v>150</c:v>
                </c:pt>
                <c:pt idx="2">
                  <c:v>450</c:v>
                </c:pt>
                <c:pt idx="3">
                  <c:v>750</c:v>
                </c:pt>
                <c:pt idx="4">
                  <c:v>1050</c:v>
                </c:pt>
                <c:pt idx="5">
                  <c:v>1350.0000000000002</c:v>
                </c:pt>
                <c:pt idx="6">
                  <c:v>1650.0000000000002</c:v>
                </c:pt>
                <c:pt idx="7">
                  <c:v>1950.0000000000002</c:v>
                </c:pt>
                <c:pt idx="8">
                  <c:v>2250</c:v>
                </c:pt>
                <c:pt idx="9">
                  <c:v>2550</c:v>
                </c:pt>
                <c:pt idx="10">
                  <c:v>2850.0000000000005</c:v>
                </c:pt>
                <c:pt idx="11">
                  <c:v>3150.0000000000009</c:v>
                </c:pt>
                <c:pt idx="12">
                  <c:v>3450.0000000000009</c:v>
                </c:pt>
                <c:pt idx="13">
                  <c:v>3750.0000000000014</c:v>
                </c:pt>
                <c:pt idx="14">
                  <c:v>4050.0000000000014</c:v>
                </c:pt>
                <c:pt idx="15">
                  <c:v>4350.0000000000018</c:v>
                </c:pt>
                <c:pt idx="16">
                  <c:v>4650.0000000000018</c:v>
                </c:pt>
                <c:pt idx="17">
                  <c:v>4950.0000000000027</c:v>
                </c:pt>
                <c:pt idx="18">
                  <c:v>5250.0000000000027</c:v>
                </c:pt>
                <c:pt idx="19">
                  <c:v>5550.0000000000027</c:v>
                </c:pt>
                <c:pt idx="20">
                  <c:v>5850.0000000000027</c:v>
                </c:pt>
                <c:pt idx="21">
                  <c:v>6150.0000000000036</c:v>
                </c:pt>
                <c:pt idx="22">
                  <c:v>6450.0000000000036</c:v>
                </c:pt>
                <c:pt idx="23">
                  <c:v>6750.0000000000036</c:v>
                </c:pt>
                <c:pt idx="24">
                  <c:v>7050.0000000000045</c:v>
                </c:pt>
                <c:pt idx="25">
                  <c:v>7350.0000000000045</c:v>
                </c:pt>
                <c:pt idx="26">
                  <c:v>7650.0000000000045</c:v>
                </c:pt>
                <c:pt idx="27">
                  <c:v>7950.0000000000045</c:v>
                </c:pt>
                <c:pt idx="28">
                  <c:v>8250.0000000000055</c:v>
                </c:pt>
                <c:pt idx="29">
                  <c:v>8550.0000000000055</c:v>
                </c:pt>
                <c:pt idx="30">
                  <c:v>8850.0000000000055</c:v>
                </c:pt>
                <c:pt idx="31">
                  <c:v>9150.0000000000055</c:v>
                </c:pt>
                <c:pt idx="32">
                  <c:v>9450.0000000000055</c:v>
                </c:pt>
                <c:pt idx="33">
                  <c:v>9750.0000000000073</c:v>
                </c:pt>
                <c:pt idx="34">
                  <c:v>10050.000000000007</c:v>
                </c:pt>
                <c:pt idx="35">
                  <c:v>10350.000000000007</c:v>
                </c:pt>
                <c:pt idx="36">
                  <c:v>10650.000000000007</c:v>
                </c:pt>
                <c:pt idx="37">
                  <c:v>10950.000000000007</c:v>
                </c:pt>
                <c:pt idx="38">
                  <c:v>11250.000000000007</c:v>
                </c:pt>
                <c:pt idx="39">
                  <c:v>11550.000000000007</c:v>
                </c:pt>
                <c:pt idx="40">
                  <c:v>11850.000000000009</c:v>
                </c:pt>
                <c:pt idx="41">
                  <c:v>12150.000000000009</c:v>
                </c:pt>
                <c:pt idx="42">
                  <c:v>12450.000000000009</c:v>
                </c:pt>
                <c:pt idx="43">
                  <c:v>12750.000000000009</c:v>
                </c:pt>
                <c:pt idx="44">
                  <c:v>13050.000000000009</c:v>
                </c:pt>
                <c:pt idx="45">
                  <c:v>13350.000000000009</c:v>
                </c:pt>
                <c:pt idx="46">
                  <c:v>13650.000000000011</c:v>
                </c:pt>
                <c:pt idx="47">
                  <c:v>13950.000000000011</c:v>
                </c:pt>
                <c:pt idx="48">
                  <c:v>14250.000000000011</c:v>
                </c:pt>
                <c:pt idx="49">
                  <c:v>14550.000000000011</c:v>
                </c:pt>
                <c:pt idx="50">
                  <c:v>14850.000000000011</c:v>
                </c:pt>
                <c:pt idx="51">
                  <c:v>15150.000000000011</c:v>
                </c:pt>
                <c:pt idx="52">
                  <c:v>15450.000000000011</c:v>
                </c:pt>
                <c:pt idx="53">
                  <c:v>15750.000000000013</c:v>
                </c:pt>
                <c:pt idx="54">
                  <c:v>16050.000000000013</c:v>
                </c:pt>
                <c:pt idx="55">
                  <c:v>16350.000000000013</c:v>
                </c:pt>
                <c:pt idx="56">
                  <c:v>16650.000000000011</c:v>
                </c:pt>
                <c:pt idx="57">
                  <c:v>16950.000000000015</c:v>
                </c:pt>
                <c:pt idx="58">
                  <c:v>17250.000000000015</c:v>
                </c:pt>
                <c:pt idx="59">
                  <c:v>17550.000000000015</c:v>
                </c:pt>
                <c:pt idx="60">
                  <c:v>17850.000000000015</c:v>
                </c:pt>
                <c:pt idx="61">
                  <c:v>18150.000000000015</c:v>
                </c:pt>
                <c:pt idx="62">
                  <c:v>18450.000000000015</c:v>
                </c:pt>
                <c:pt idx="63">
                  <c:v>18750.000000000011</c:v>
                </c:pt>
                <c:pt idx="64">
                  <c:v>19050.000000000015</c:v>
                </c:pt>
                <c:pt idx="65">
                  <c:v>19350.000000000015</c:v>
                </c:pt>
                <c:pt idx="66">
                  <c:v>19650.000000000015</c:v>
                </c:pt>
                <c:pt idx="67">
                  <c:v>19950.000000000015</c:v>
                </c:pt>
                <c:pt idx="68">
                  <c:v>20250.000000000015</c:v>
                </c:pt>
                <c:pt idx="69">
                  <c:v>20550.000000000015</c:v>
                </c:pt>
                <c:pt idx="70">
                  <c:v>20850.000000000015</c:v>
                </c:pt>
                <c:pt idx="71">
                  <c:v>21150.000000000015</c:v>
                </c:pt>
                <c:pt idx="72">
                  <c:v>21450.000000000015</c:v>
                </c:pt>
                <c:pt idx="73">
                  <c:v>21750.000000000015</c:v>
                </c:pt>
                <c:pt idx="74">
                  <c:v>22050.000000000015</c:v>
                </c:pt>
                <c:pt idx="75">
                  <c:v>22350.000000000015</c:v>
                </c:pt>
                <c:pt idx="76">
                  <c:v>22650.000000000015</c:v>
                </c:pt>
                <c:pt idx="77">
                  <c:v>22950.000000000015</c:v>
                </c:pt>
                <c:pt idx="78">
                  <c:v>23250.000000000018</c:v>
                </c:pt>
                <c:pt idx="79">
                  <c:v>23550.000000000018</c:v>
                </c:pt>
                <c:pt idx="80">
                  <c:v>23850.000000000018</c:v>
                </c:pt>
                <c:pt idx="81">
                  <c:v>24150.000000000018</c:v>
                </c:pt>
                <c:pt idx="82">
                  <c:v>24450.000000000018</c:v>
                </c:pt>
                <c:pt idx="83">
                  <c:v>24750.000000000018</c:v>
                </c:pt>
                <c:pt idx="84">
                  <c:v>25050.000000000018</c:v>
                </c:pt>
                <c:pt idx="85">
                  <c:v>25350.000000000018</c:v>
                </c:pt>
                <c:pt idx="86">
                  <c:v>25650.000000000018</c:v>
                </c:pt>
                <c:pt idx="87">
                  <c:v>25950.000000000018</c:v>
                </c:pt>
                <c:pt idx="88">
                  <c:v>26250.000000000018</c:v>
                </c:pt>
                <c:pt idx="89">
                  <c:v>26550.000000000018</c:v>
                </c:pt>
                <c:pt idx="90">
                  <c:v>26850.000000000018</c:v>
                </c:pt>
                <c:pt idx="91">
                  <c:v>27150.000000000018</c:v>
                </c:pt>
                <c:pt idx="92">
                  <c:v>27450.000000000022</c:v>
                </c:pt>
                <c:pt idx="93">
                  <c:v>27750.000000000022</c:v>
                </c:pt>
                <c:pt idx="94">
                  <c:v>28050.000000000022</c:v>
                </c:pt>
                <c:pt idx="95">
                  <c:v>28350.000000000022</c:v>
                </c:pt>
                <c:pt idx="96">
                  <c:v>28650.000000000022</c:v>
                </c:pt>
                <c:pt idx="97">
                  <c:v>28950.000000000022</c:v>
                </c:pt>
                <c:pt idx="98">
                  <c:v>29250.000000000022</c:v>
                </c:pt>
                <c:pt idx="99">
                  <c:v>29550.000000000022</c:v>
                </c:pt>
                <c:pt idx="100">
                  <c:v>29850.000000000022</c:v>
                </c:pt>
                <c:pt idx="101">
                  <c:v>30150.000000000022</c:v>
                </c:pt>
                <c:pt idx="102">
                  <c:v>30450.000000000022</c:v>
                </c:pt>
                <c:pt idx="103">
                  <c:v>30750.000000000022</c:v>
                </c:pt>
                <c:pt idx="104">
                  <c:v>31050.000000000022</c:v>
                </c:pt>
                <c:pt idx="105">
                  <c:v>31350.000000000025</c:v>
                </c:pt>
                <c:pt idx="106">
                  <c:v>31650.000000000025</c:v>
                </c:pt>
                <c:pt idx="107">
                  <c:v>31950.000000000025</c:v>
                </c:pt>
                <c:pt idx="108">
                  <c:v>32250.000000000025</c:v>
                </c:pt>
                <c:pt idx="109">
                  <c:v>32550.000000000025</c:v>
                </c:pt>
                <c:pt idx="110">
                  <c:v>32850.000000000022</c:v>
                </c:pt>
                <c:pt idx="111">
                  <c:v>33150.000000000022</c:v>
                </c:pt>
                <c:pt idx="112">
                  <c:v>33450.000000000029</c:v>
                </c:pt>
                <c:pt idx="113">
                  <c:v>33750.000000000029</c:v>
                </c:pt>
                <c:pt idx="114">
                  <c:v>34050.000000000029</c:v>
                </c:pt>
                <c:pt idx="115">
                  <c:v>34350.000000000029</c:v>
                </c:pt>
                <c:pt idx="116">
                  <c:v>34650.000000000029</c:v>
                </c:pt>
                <c:pt idx="117">
                  <c:v>34950.000000000029</c:v>
                </c:pt>
                <c:pt idx="118">
                  <c:v>35250.000000000029</c:v>
                </c:pt>
                <c:pt idx="119">
                  <c:v>35550.000000000029</c:v>
                </c:pt>
                <c:pt idx="120">
                  <c:v>35850.000000000029</c:v>
                </c:pt>
                <c:pt idx="121">
                  <c:v>36150.000000000029</c:v>
                </c:pt>
                <c:pt idx="122">
                  <c:v>36450.000000000029</c:v>
                </c:pt>
                <c:pt idx="123">
                  <c:v>36750.000000000029</c:v>
                </c:pt>
                <c:pt idx="124">
                  <c:v>37050.000000000029</c:v>
                </c:pt>
                <c:pt idx="125">
                  <c:v>37350.000000000029</c:v>
                </c:pt>
                <c:pt idx="126">
                  <c:v>37650.000000000022</c:v>
                </c:pt>
                <c:pt idx="127">
                  <c:v>37950.000000000022</c:v>
                </c:pt>
                <c:pt idx="128">
                  <c:v>38250.000000000029</c:v>
                </c:pt>
                <c:pt idx="129">
                  <c:v>38550.000000000029</c:v>
                </c:pt>
                <c:pt idx="130">
                  <c:v>38850.000000000029</c:v>
                </c:pt>
                <c:pt idx="131">
                  <c:v>39150.000000000029</c:v>
                </c:pt>
                <c:pt idx="132">
                  <c:v>39450.000000000029</c:v>
                </c:pt>
                <c:pt idx="133">
                  <c:v>39750.000000000029</c:v>
                </c:pt>
                <c:pt idx="134">
                  <c:v>40050.000000000029</c:v>
                </c:pt>
                <c:pt idx="135">
                  <c:v>40350.000000000029</c:v>
                </c:pt>
                <c:pt idx="136">
                  <c:v>40650.000000000029</c:v>
                </c:pt>
                <c:pt idx="137">
                  <c:v>40950.000000000029</c:v>
                </c:pt>
                <c:pt idx="138">
                  <c:v>41250.000000000029</c:v>
                </c:pt>
                <c:pt idx="139">
                  <c:v>41550.000000000029</c:v>
                </c:pt>
                <c:pt idx="140">
                  <c:v>41850.000000000029</c:v>
                </c:pt>
                <c:pt idx="141">
                  <c:v>42150.000000000029</c:v>
                </c:pt>
                <c:pt idx="142">
                  <c:v>42450.000000000029</c:v>
                </c:pt>
                <c:pt idx="143">
                  <c:v>42750.000000000029</c:v>
                </c:pt>
                <c:pt idx="144">
                  <c:v>43050.000000000029</c:v>
                </c:pt>
                <c:pt idx="145">
                  <c:v>43350.000000000029</c:v>
                </c:pt>
                <c:pt idx="146">
                  <c:v>43650.000000000029</c:v>
                </c:pt>
                <c:pt idx="147">
                  <c:v>43950.000000000029</c:v>
                </c:pt>
                <c:pt idx="148">
                  <c:v>44250.000000000029</c:v>
                </c:pt>
                <c:pt idx="149">
                  <c:v>44550.000000000029</c:v>
                </c:pt>
                <c:pt idx="150">
                  <c:v>44850.000000000029</c:v>
                </c:pt>
                <c:pt idx="151">
                  <c:v>45150.000000000029</c:v>
                </c:pt>
                <c:pt idx="152">
                  <c:v>45450.000000000029</c:v>
                </c:pt>
                <c:pt idx="153">
                  <c:v>45750.000000000029</c:v>
                </c:pt>
                <c:pt idx="154">
                  <c:v>46050.000000000029</c:v>
                </c:pt>
                <c:pt idx="155">
                  <c:v>46350.000000000036</c:v>
                </c:pt>
                <c:pt idx="156">
                  <c:v>46650.000000000036</c:v>
                </c:pt>
                <c:pt idx="157">
                  <c:v>46950.000000000036</c:v>
                </c:pt>
                <c:pt idx="158">
                  <c:v>47250.000000000036</c:v>
                </c:pt>
                <c:pt idx="159">
                  <c:v>47550.000000000036</c:v>
                </c:pt>
                <c:pt idx="160">
                  <c:v>47850.000000000036</c:v>
                </c:pt>
                <c:pt idx="161">
                  <c:v>48150.000000000036</c:v>
                </c:pt>
                <c:pt idx="162">
                  <c:v>48450.000000000036</c:v>
                </c:pt>
                <c:pt idx="163">
                  <c:v>48750.000000000036</c:v>
                </c:pt>
                <c:pt idx="164">
                  <c:v>49050.000000000036</c:v>
                </c:pt>
                <c:pt idx="165">
                  <c:v>49350.000000000036</c:v>
                </c:pt>
                <c:pt idx="166">
                  <c:v>49650.000000000036</c:v>
                </c:pt>
                <c:pt idx="167">
                  <c:v>49950.000000000036</c:v>
                </c:pt>
                <c:pt idx="168">
                  <c:v>50250.000000000036</c:v>
                </c:pt>
                <c:pt idx="169">
                  <c:v>50550.000000000036</c:v>
                </c:pt>
                <c:pt idx="170">
                  <c:v>50850.000000000036</c:v>
                </c:pt>
                <c:pt idx="171">
                  <c:v>51150.000000000036</c:v>
                </c:pt>
                <c:pt idx="172">
                  <c:v>51450.000000000036</c:v>
                </c:pt>
                <c:pt idx="173">
                  <c:v>51750.000000000036</c:v>
                </c:pt>
                <c:pt idx="174">
                  <c:v>52050.000000000036</c:v>
                </c:pt>
                <c:pt idx="175">
                  <c:v>52350.000000000036</c:v>
                </c:pt>
                <c:pt idx="176">
                  <c:v>52650.000000000036</c:v>
                </c:pt>
                <c:pt idx="177">
                  <c:v>52950.000000000036</c:v>
                </c:pt>
                <c:pt idx="178">
                  <c:v>53250.000000000036</c:v>
                </c:pt>
                <c:pt idx="179">
                  <c:v>53550.000000000036</c:v>
                </c:pt>
                <c:pt idx="180">
                  <c:v>53850.000000000036</c:v>
                </c:pt>
                <c:pt idx="181">
                  <c:v>54150.000000000036</c:v>
                </c:pt>
                <c:pt idx="182">
                  <c:v>54450.000000000044</c:v>
                </c:pt>
                <c:pt idx="183">
                  <c:v>54750.000000000044</c:v>
                </c:pt>
                <c:pt idx="184">
                  <c:v>55050.000000000044</c:v>
                </c:pt>
                <c:pt idx="185">
                  <c:v>55350.000000000044</c:v>
                </c:pt>
                <c:pt idx="186">
                  <c:v>55650.000000000044</c:v>
                </c:pt>
                <c:pt idx="187">
                  <c:v>55950.000000000044</c:v>
                </c:pt>
                <c:pt idx="188">
                  <c:v>56250.000000000044</c:v>
                </c:pt>
                <c:pt idx="189">
                  <c:v>56550.000000000044</c:v>
                </c:pt>
                <c:pt idx="190">
                  <c:v>56850.000000000044</c:v>
                </c:pt>
                <c:pt idx="191">
                  <c:v>57150.000000000044</c:v>
                </c:pt>
                <c:pt idx="192">
                  <c:v>57450.000000000044</c:v>
                </c:pt>
                <c:pt idx="193">
                  <c:v>57750.000000000044</c:v>
                </c:pt>
                <c:pt idx="194">
                  <c:v>58050.000000000044</c:v>
                </c:pt>
                <c:pt idx="195">
                  <c:v>58350.000000000044</c:v>
                </c:pt>
                <c:pt idx="196">
                  <c:v>58650.000000000044</c:v>
                </c:pt>
                <c:pt idx="197">
                  <c:v>58950.000000000044</c:v>
                </c:pt>
                <c:pt idx="198">
                  <c:v>59250.000000000044</c:v>
                </c:pt>
                <c:pt idx="199">
                  <c:v>59550.000000000044</c:v>
                </c:pt>
                <c:pt idx="200">
                  <c:v>59850.000000000044</c:v>
                </c:pt>
                <c:pt idx="201">
                  <c:v>60150.000000000044</c:v>
                </c:pt>
                <c:pt idx="202">
                  <c:v>60450.000000000044</c:v>
                </c:pt>
                <c:pt idx="203">
                  <c:v>60750.000000000044</c:v>
                </c:pt>
                <c:pt idx="204">
                  <c:v>61050.000000000044</c:v>
                </c:pt>
                <c:pt idx="205">
                  <c:v>61350.000000000044</c:v>
                </c:pt>
                <c:pt idx="206">
                  <c:v>61650.000000000044</c:v>
                </c:pt>
                <c:pt idx="207">
                  <c:v>61950.000000000044</c:v>
                </c:pt>
                <c:pt idx="208">
                  <c:v>62250.000000000044</c:v>
                </c:pt>
                <c:pt idx="209">
                  <c:v>62550.000000000044</c:v>
                </c:pt>
                <c:pt idx="210">
                  <c:v>62850.000000000051</c:v>
                </c:pt>
                <c:pt idx="211">
                  <c:v>63150.000000000051</c:v>
                </c:pt>
                <c:pt idx="212">
                  <c:v>63450.000000000051</c:v>
                </c:pt>
                <c:pt idx="213">
                  <c:v>63750.000000000051</c:v>
                </c:pt>
                <c:pt idx="214">
                  <c:v>64050.000000000051</c:v>
                </c:pt>
                <c:pt idx="215">
                  <c:v>64350.000000000051</c:v>
                </c:pt>
                <c:pt idx="216">
                  <c:v>64650.000000000051</c:v>
                </c:pt>
                <c:pt idx="217">
                  <c:v>64950.000000000051</c:v>
                </c:pt>
                <c:pt idx="218">
                  <c:v>65250.000000000051</c:v>
                </c:pt>
                <c:pt idx="219">
                  <c:v>65550.000000000044</c:v>
                </c:pt>
                <c:pt idx="220">
                  <c:v>65850.000000000044</c:v>
                </c:pt>
                <c:pt idx="221">
                  <c:v>66150.000000000044</c:v>
                </c:pt>
                <c:pt idx="222">
                  <c:v>66450.000000000044</c:v>
                </c:pt>
                <c:pt idx="223">
                  <c:v>66750.000000000058</c:v>
                </c:pt>
                <c:pt idx="224">
                  <c:v>67050.000000000058</c:v>
                </c:pt>
                <c:pt idx="225">
                  <c:v>67350.000000000058</c:v>
                </c:pt>
                <c:pt idx="226">
                  <c:v>67650.000000000058</c:v>
                </c:pt>
                <c:pt idx="227">
                  <c:v>67950.000000000058</c:v>
                </c:pt>
                <c:pt idx="228">
                  <c:v>68250.000000000058</c:v>
                </c:pt>
                <c:pt idx="229">
                  <c:v>68550.000000000058</c:v>
                </c:pt>
                <c:pt idx="230">
                  <c:v>68850.000000000058</c:v>
                </c:pt>
                <c:pt idx="231">
                  <c:v>69150.000000000058</c:v>
                </c:pt>
                <c:pt idx="232">
                  <c:v>69450.000000000058</c:v>
                </c:pt>
                <c:pt idx="233">
                  <c:v>69750.000000000058</c:v>
                </c:pt>
                <c:pt idx="234">
                  <c:v>70050.000000000058</c:v>
                </c:pt>
                <c:pt idx="235">
                  <c:v>70350.000000000058</c:v>
                </c:pt>
                <c:pt idx="236">
                  <c:v>70650.000000000058</c:v>
                </c:pt>
                <c:pt idx="237">
                  <c:v>70950.000000000058</c:v>
                </c:pt>
                <c:pt idx="238">
                  <c:v>71250.000000000058</c:v>
                </c:pt>
                <c:pt idx="239">
                  <c:v>71550.000000000058</c:v>
                </c:pt>
                <c:pt idx="240">
                  <c:v>71850.000000000058</c:v>
                </c:pt>
                <c:pt idx="241">
                  <c:v>72150.000000000058</c:v>
                </c:pt>
                <c:pt idx="242">
                  <c:v>72450.000000000058</c:v>
                </c:pt>
                <c:pt idx="243">
                  <c:v>72750.000000000058</c:v>
                </c:pt>
                <c:pt idx="244">
                  <c:v>73050.000000000058</c:v>
                </c:pt>
                <c:pt idx="245">
                  <c:v>73350.000000000058</c:v>
                </c:pt>
                <c:pt idx="246">
                  <c:v>73650.000000000058</c:v>
                </c:pt>
                <c:pt idx="247">
                  <c:v>73950.000000000058</c:v>
                </c:pt>
                <c:pt idx="248">
                  <c:v>74250.000000000058</c:v>
                </c:pt>
                <c:pt idx="249">
                  <c:v>74550.000000000058</c:v>
                </c:pt>
                <c:pt idx="250">
                  <c:v>74850.000000000058</c:v>
                </c:pt>
                <c:pt idx="251">
                  <c:v>75150.000000000044</c:v>
                </c:pt>
                <c:pt idx="252">
                  <c:v>75450.000000000044</c:v>
                </c:pt>
                <c:pt idx="253">
                  <c:v>75750.000000000044</c:v>
                </c:pt>
                <c:pt idx="254">
                  <c:v>76050.000000000044</c:v>
                </c:pt>
                <c:pt idx="255">
                  <c:v>76350.000000000058</c:v>
                </c:pt>
                <c:pt idx="256">
                  <c:v>76650.000000000058</c:v>
                </c:pt>
                <c:pt idx="257">
                  <c:v>76950.000000000058</c:v>
                </c:pt>
                <c:pt idx="258">
                  <c:v>77250.000000000058</c:v>
                </c:pt>
                <c:pt idx="259">
                  <c:v>77550.000000000058</c:v>
                </c:pt>
                <c:pt idx="260">
                  <c:v>77850.000000000058</c:v>
                </c:pt>
                <c:pt idx="261">
                  <c:v>78150.000000000058</c:v>
                </c:pt>
                <c:pt idx="262">
                  <c:v>78450.000000000058</c:v>
                </c:pt>
                <c:pt idx="263">
                  <c:v>78750.000000000058</c:v>
                </c:pt>
                <c:pt idx="264">
                  <c:v>79050.000000000058</c:v>
                </c:pt>
                <c:pt idx="265">
                  <c:v>79350.000000000058</c:v>
                </c:pt>
                <c:pt idx="266">
                  <c:v>79650.000000000058</c:v>
                </c:pt>
                <c:pt idx="267">
                  <c:v>79950.000000000058</c:v>
                </c:pt>
                <c:pt idx="268">
                  <c:v>80250.000000000058</c:v>
                </c:pt>
                <c:pt idx="269">
                  <c:v>80550.000000000058</c:v>
                </c:pt>
                <c:pt idx="270">
                  <c:v>80850.000000000058</c:v>
                </c:pt>
                <c:pt idx="271">
                  <c:v>81150.000000000058</c:v>
                </c:pt>
                <c:pt idx="272">
                  <c:v>81450.000000000058</c:v>
                </c:pt>
                <c:pt idx="273">
                  <c:v>81750.000000000058</c:v>
                </c:pt>
                <c:pt idx="274">
                  <c:v>82050.000000000058</c:v>
                </c:pt>
                <c:pt idx="275">
                  <c:v>82350.000000000058</c:v>
                </c:pt>
                <c:pt idx="276">
                  <c:v>82650.000000000058</c:v>
                </c:pt>
                <c:pt idx="277">
                  <c:v>82950.000000000058</c:v>
                </c:pt>
                <c:pt idx="278">
                  <c:v>83250.000000000058</c:v>
                </c:pt>
                <c:pt idx="279">
                  <c:v>83550.000000000058</c:v>
                </c:pt>
                <c:pt idx="280">
                  <c:v>83850.000000000058</c:v>
                </c:pt>
                <c:pt idx="281">
                  <c:v>84150.000000000058</c:v>
                </c:pt>
                <c:pt idx="282">
                  <c:v>84450.000000000058</c:v>
                </c:pt>
                <c:pt idx="283">
                  <c:v>84750.000000000058</c:v>
                </c:pt>
                <c:pt idx="284">
                  <c:v>85050.000000000058</c:v>
                </c:pt>
                <c:pt idx="285">
                  <c:v>85350.000000000058</c:v>
                </c:pt>
                <c:pt idx="286">
                  <c:v>85650.000000000058</c:v>
                </c:pt>
                <c:pt idx="287">
                  <c:v>85950.000000000058</c:v>
                </c:pt>
                <c:pt idx="288">
                  <c:v>86250.000000000058</c:v>
                </c:pt>
                <c:pt idx="289">
                  <c:v>86550.000000000058</c:v>
                </c:pt>
                <c:pt idx="290">
                  <c:v>86850.000000000058</c:v>
                </c:pt>
                <c:pt idx="291">
                  <c:v>87150.000000000058</c:v>
                </c:pt>
                <c:pt idx="292">
                  <c:v>87450.000000000058</c:v>
                </c:pt>
                <c:pt idx="293">
                  <c:v>87750.000000000058</c:v>
                </c:pt>
                <c:pt idx="294">
                  <c:v>88050.000000000058</c:v>
                </c:pt>
                <c:pt idx="295">
                  <c:v>88350.000000000058</c:v>
                </c:pt>
                <c:pt idx="296">
                  <c:v>88650.000000000058</c:v>
                </c:pt>
                <c:pt idx="297">
                  <c:v>88950.000000000058</c:v>
                </c:pt>
                <c:pt idx="298">
                  <c:v>89250.000000000058</c:v>
                </c:pt>
                <c:pt idx="299">
                  <c:v>89550.000000000058</c:v>
                </c:pt>
                <c:pt idx="300">
                  <c:v>89850.000000000058</c:v>
                </c:pt>
                <c:pt idx="301">
                  <c:v>90150.000000000058</c:v>
                </c:pt>
                <c:pt idx="302">
                  <c:v>90450.000000000058</c:v>
                </c:pt>
                <c:pt idx="303">
                  <c:v>90750.000000000058</c:v>
                </c:pt>
                <c:pt idx="304">
                  <c:v>91050.000000000058</c:v>
                </c:pt>
                <c:pt idx="305">
                  <c:v>91350.000000000058</c:v>
                </c:pt>
                <c:pt idx="306">
                  <c:v>91650.000000000058</c:v>
                </c:pt>
                <c:pt idx="307">
                  <c:v>91950.000000000058</c:v>
                </c:pt>
                <c:pt idx="308">
                  <c:v>92250.000000000058</c:v>
                </c:pt>
                <c:pt idx="309">
                  <c:v>92550.000000000073</c:v>
                </c:pt>
                <c:pt idx="310">
                  <c:v>92850.000000000073</c:v>
                </c:pt>
                <c:pt idx="311">
                  <c:v>93150.000000000073</c:v>
                </c:pt>
                <c:pt idx="312">
                  <c:v>93450.000000000073</c:v>
                </c:pt>
                <c:pt idx="313">
                  <c:v>93750.000000000073</c:v>
                </c:pt>
                <c:pt idx="314">
                  <c:v>94050.000000000073</c:v>
                </c:pt>
                <c:pt idx="315">
                  <c:v>94350.000000000073</c:v>
                </c:pt>
                <c:pt idx="316">
                  <c:v>94650.000000000073</c:v>
                </c:pt>
                <c:pt idx="317">
                  <c:v>94950.000000000073</c:v>
                </c:pt>
                <c:pt idx="318">
                  <c:v>95250.000000000073</c:v>
                </c:pt>
                <c:pt idx="319">
                  <c:v>95550.000000000073</c:v>
                </c:pt>
                <c:pt idx="320">
                  <c:v>95850.000000000073</c:v>
                </c:pt>
                <c:pt idx="321">
                  <c:v>96150.000000000073</c:v>
                </c:pt>
                <c:pt idx="322">
                  <c:v>96450.000000000073</c:v>
                </c:pt>
                <c:pt idx="323">
                  <c:v>96750.000000000073</c:v>
                </c:pt>
                <c:pt idx="324">
                  <c:v>97050.000000000073</c:v>
                </c:pt>
                <c:pt idx="325">
                  <c:v>97350.000000000073</c:v>
                </c:pt>
                <c:pt idx="326">
                  <c:v>97650.000000000073</c:v>
                </c:pt>
                <c:pt idx="327">
                  <c:v>97950.000000000073</c:v>
                </c:pt>
                <c:pt idx="328">
                  <c:v>98250.000000000073</c:v>
                </c:pt>
                <c:pt idx="329">
                  <c:v>98550.000000000073</c:v>
                </c:pt>
                <c:pt idx="330">
                  <c:v>98850.000000000073</c:v>
                </c:pt>
                <c:pt idx="331">
                  <c:v>99150.000000000073</c:v>
                </c:pt>
                <c:pt idx="332">
                  <c:v>99450.000000000073</c:v>
                </c:pt>
                <c:pt idx="333">
                  <c:v>99750.000000000073</c:v>
                </c:pt>
                <c:pt idx="334">
                  <c:v>100050.00000000007</c:v>
                </c:pt>
                <c:pt idx="335">
                  <c:v>100350.00000000007</c:v>
                </c:pt>
                <c:pt idx="336">
                  <c:v>100650.00000000007</c:v>
                </c:pt>
                <c:pt idx="337">
                  <c:v>100950.00000000007</c:v>
                </c:pt>
                <c:pt idx="338">
                  <c:v>101250.00000000007</c:v>
                </c:pt>
                <c:pt idx="339">
                  <c:v>101550.00000000007</c:v>
                </c:pt>
                <c:pt idx="340">
                  <c:v>101850.00000000007</c:v>
                </c:pt>
                <c:pt idx="341">
                  <c:v>102150.00000000007</c:v>
                </c:pt>
                <c:pt idx="342">
                  <c:v>102450.00000000007</c:v>
                </c:pt>
                <c:pt idx="343">
                  <c:v>102750.00000000007</c:v>
                </c:pt>
                <c:pt idx="344">
                  <c:v>103050.00000000007</c:v>
                </c:pt>
                <c:pt idx="345">
                  <c:v>103350.00000000007</c:v>
                </c:pt>
                <c:pt idx="346">
                  <c:v>103650.00000000007</c:v>
                </c:pt>
                <c:pt idx="347">
                  <c:v>103950.00000000007</c:v>
                </c:pt>
                <c:pt idx="348">
                  <c:v>104250.00000000007</c:v>
                </c:pt>
                <c:pt idx="349">
                  <c:v>104550.00000000007</c:v>
                </c:pt>
                <c:pt idx="350">
                  <c:v>104850.00000000007</c:v>
                </c:pt>
                <c:pt idx="351">
                  <c:v>105150.00000000007</c:v>
                </c:pt>
                <c:pt idx="352">
                  <c:v>105450.00000000007</c:v>
                </c:pt>
                <c:pt idx="353">
                  <c:v>105750.00000000007</c:v>
                </c:pt>
                <c:pt idx="354">
                  <c:v>106050.00000000007</c:v>
                </c:pt>
                <c:pt idx="355">
                  <c:v>106350.00000000007</c:v>
                </c:pt>
                <c:pt idx="356">
                  <c:v>106650.00000000007</c:v>
                </c:pt>
                <c:pt idx="357">
                  <c:v>106950.00000000007</c:v>
                </c:pt>
                <c:pt idx="358">
                  <c:v>107250.00000000007</c:v>
                </c:pt>
                <c:pt idx="359">
                  <c:v>107550.00000000007</c:v>
                </c:pt>
                <c:pt idx="360">
                  <c:v>107850.00000000007</c:v>
                </c:pt>
                <c:pt idx="361">
                  <c:v>108150.00000000007</c:v>
                </c:pt>
                <c:pt idx="362">
                  <c:v>108450.00000000007</c:v>
                </c:pt>
                <c:pt idx="363">
                  <c:v>108750.00000000007</c:v>
                </c:pt>
                <c:pt idx="364">
                  <c:v>109050.00000000009</c:v>
                </c:pt>
                <c:pt idx="365">
                  <c:v>109350.00000000009</c:v>
                </c:pt>
                <c:pt idx="366">
                  <c:v>109650.00000000009</c:v>
                </c:pt>
                <c:pt idx="367">
                  <c:v>109950.00000000009</c:v>
                </c:pt>
                <c:pt idx="368">
                  <c:v>110250.00000000009</c:v>
                </c:pt>
                <c:pt idx="369">
                  <c:v>110550.00000000009</c:v>
                </c:pt>
                <c:pt idx="370">
                  <c:v>110850.00000000009</c:v>
                </c:pt>
                <c:pt idx="371">
                  <c:v>111150.00000000009</c:v>
                </c:pt>
                <c:pt idx="372">
                  <c:v>111450.00000000009</c:v>
                </c:pt>
                <c:pt idx="373">
                  <c:v>111750.00000000009</c:v>
                </c:pt>
                <c:pt idx="374">
                  <c:v>112050.00000000009</c:v>
                </c:pt>
                <c:pt idx="375">
                  <c:v>112350.00000000009</c:v>
                </c:pt>
                <c:pt idx="376">
                  <c:v>112650.00000000009</c:v>
                </c:pt>
                <c:pt idx="377">
                  <c:v>112950.00000000009</c:v>
                </c:pt>
                <c:pt idx="378">
                  <c:v>113250.00000000009</c:v>
                </c:pt>
                <c:pt idx="379">
                  <c:v>113550.00000000009</c:v>
                </c:pt>
                <c:pt idx="380">
                  <c:v>113850.00000000009</c:v>
                </c:pt>
                <c:pt idx="381">
                  <c:v>114150.00000000009</c:v>
                </c:pt>
                <c:pt idx="382">
                  <c:v>114450.00000000009</c:v>
                </c:pt>
                <c:pt idx="383">
                  <c:v>114750.00000000009</c:v>
                </c:pt>
                <c:pt idx="384">
                  <c:v>115050.00000000009</c:v>
                </c:pt>
                <c:pt idx="385">
                  <c:v>115350.00000000009</c:v>
                </c:pt>
                <c:pt idx="386">
                  <c:v>115650.00000000009</c:v>
                </c:pt>
                <c:pt idx="387">
                  <c:v>115950.00000000009</c:v>
                </c:pt>
                <c:pt idx="388">
                  <c:v>116250.00000000009</c:v>
                </c:pt>
                <c:pt idx="389">
                  <c:v>116550.00000000009</c:v>
                </c:pt>
                <c:pt idx="390">
                  <c:v>116850.00000000009</c:v>
                </c:pt>
                <c:pt idx="391">
                  <c:v>117150.00000000009</c:v>
                </c:pt>
                <c:pt idx="392">
                  <c:v>117450.00000000009</c:v>
                </c:pt>
                <c:pt idx="393">
                  <c:v>117750.00000000009</c:v>
                </c:pt>
                <c:pt idx="394">
                  <c:v>118050.00000000009</c:v>
                </c:pt>
                <c:pt idx="395">
                  <c:v>118350.00000000009</c:v>
                </c:pt>
                <c:pt idx="396">
                  <c:v>118650.00000000009</c:v>
                </c:pt>
                <c:pt idx="397">
                  <c:v>118950.00000000009</c:v>
                </c:pt>
                <c:pt idx="398">
                  <c:v>119250.00000000009</c:v>
                </c:pt>
                <c:pt idx="399">
                  <c:v>119550.00000000009</c:v>
                </c:pt>
                <c:pt idx="400">
                  <c:v>119850.00000000009</c:v>
                </c:pt>
                <c:pt idx="401">
                  <c:v>120150.00000000009</c:v>
                </c:pt>
                <c:pt idx="402">
                  <c:v>120450.00000000009</c:v>
                </c:pt>
                <c:pt idx="403">
                  <c:v>120750.00000000009</c:v>
                </c:pt>
                <c:pt idx="404">
                  <c:v>121050.00000000009</c:v>
                </c:pt>
                <c:pt idx="405">
                  <c:v>121350.00000000009</c:v>
                </c:pt>
                <c:pt idx="406">
                  <c:v>121650.00000000009</c:v>
                </c:pt>
                <c:pt idx="407">
                  <c:v>121950.00000000009</c:v>
                </c:pt>
                <c:pt idx="408">
                  <c:v>122250.00000000009</c:v>
                </c:pt>
                <c:pt idx="409">
                  <c:v>122550.00000000009</c:v>
                </c:pt>
                <c:pt idx="410">
                  <c:v>122850.00000000009</c:v>
                </c:pt>
                <c:pt idx="411">
                  <c:v>123150.00000000009</c:v>
                </c:pt>
                <c:pt idx="412">
                  <c:v>123450.00000000009</c:v>
                </c:pt>
                <c:pt idx="413">
                  <c:v>123750.00000000009</c:v>
                </c:pt>
                <c:pt idx="414">
                  <c:v>124050.00000000009</c:v>
                </c:pt>
                <c:pt idx="415">
                  <c:v>124350.00000000009</c:v>
                </c:pt>
                <c:pt idx="416">
                  <c:v>124650.00000000009</c:v>
                </c:pt>
                <c:pt idx="417">
                  <c:v>124950.00000000009</c:v>
                </c:pt>
                <c:pt idx="418">
                  <c:v>125250.00000000009</c:v>
                </c:pt>
                <c:pt idx="419">
                  <c:v>125550.0000000001</c:v>
                </c:pt>
                <c:pt idx="420">
                  <c:v>125850.0000000001</c:v>
                </c:pt>
                <c:pt idx="421">
                  <c:v>126150.0000000001</c:v>
                </c:pt>
              </c:numCache>
            </c:numRef>
          </c:xVal>
          <c:yVal>
            <c:numRef>
              <c:f>'Credit Portfolio'!$O$6:$O$427</c:f>
              <c:numCache>
                <c:formatCode>0.00000</c:formatCode>
                <c:ptCount val="4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 formatCode="0.000000">
                  <c:v>0</c:v>
                </c:pt>
                <c:pt idx="60" formatCode="0.000000">
                  <c:v>0</c:v>
                </c:pt>
                <c:pt idx="61" formatCode="0.000000">
                  <c:v>0</c:v>
                </c:pt>
                <c:pt idx="62" formatCode="0.000000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 formatCode="0.0000000">
                  <c:v>0</c:v>
                </c:pt>
                <c:pt idx="75" formatCode="0.00000000">
                  <c:v>0</c:v>
                </c:pt>
                <c:pt idx="76" formatCode="0.00000000">
                  <c:v>0</c:v>
                </c:pt>
                <c:pt idx="77" formatCode="0.00000000">
                  <c:v>0</c:v>
                </c:pt>
                <c:pt idx="78" formatCode="0.00000000">
                  <c:v>0</c:v>
                </c:pt>
                <c:pt idx="79" formatCode="0.00000000">
                  <c:v>0</c:v>
                </c:pt>
                <c:pt idx="80" formatCode="0.00000000">
                  <c:v>0</c:v>
                </c:pt>
                <c:pt idx="81" formatCode="0.00000000">
                  <c:v>0</c:v>
                </c:pt>
                <c:pt idx="82" formatCode="0.00000000">
                  <c:v>0</c:v>
                </c:pt>
                <c:pt idx="83" formatCode="0.00000000">
                  <c:v>0</c:v>
                </c:pt>
                <c:pt idx="84" formatCode="0.00000000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C7-4CFB-9808-8F454F30927F}"/>
            </c:ext>
          </c:extLst>
        </c:ser>
        <c:ser>
          <c:idx val="1"/>
          <c:order val="2"/>
          <c:spPr>
            <a:ln w="158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'Credit Portfolio'!$S$6:$S$7</c:f>
              <c:numCache>
                <c:formatCode>0.00</c:formatCode>
                <c:ptCount val="2"/>
                <c:pt idx="0" formatCode="0.000%">
                  <c:v>0</c:v>
                </c:pt>
                <c:pt idx="1">
                  <c:v>#N/A</c:v>
                </c:pt>
              </c:numCache>
            </c:numRef>
          </c:xVal>
          <c:yVal>
            <c:numRef>
              <c:f>'Credit Portfolio'!$R$6:$R$7</c:f>
              <c:numCache>
                <c:formatCode>0.000%</c:formatCode>
                <c:ptCount val="2"/>
                <c:pt idx="0">
                  <c:v>1.0000000000000009E-3</c:v>
                </c:pt>
                <c:pt idx="1">
                  <c:v>1.0000000000000009E-3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58-4F40-A68B-19D31A2129DE}"/>
            </c:ext>
          </c:extLst>
        </c:ser>
        <c:ser>
          <c:idx val="3"/>
          <c:order val="3"/>
          <c:spPr>
            <a:ln w="158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'Credit Portfolio'!$U$6:$U$7</c:f>
              <c:numCache>
                <c:formatCode>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'Credit Portfolio'!$T$6:$T$7</c:f>
              <c:numCache>
                <c:formatCode>0.000%</c:formatCode>
                <c:ptCount val="2"/>
                <c:pt idx="0">
                  <c:v>1.0000000000000009E-3</c:v>
                </c:pt>
                <c:pt idx="1">
                  <c:v>1.0000000000000001E-9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58-4F40-A68B-19D31A212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078072"/>
        <c:axId val="767265800"/>
      </c:scatterChart>
      <c:valAx>
        <c:axId val="709078072"/>
        <c:scaling>
          <c:orientation val="minMax"/>
          <c:max val="10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265800"/>
        <c:crossesAt val="1.0000000000000006E-10"/>
        <c:crossBetween val="midCat"/>
      </c:valAx>
      <c:valAx>
        <c:axId val="767265800"/>
        <c:scaling>
          <c:logBase val="10"/>
          <c:orientation val="minMax"/>
          <c:min val="1.0000000000000005E-8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078072"/>
        <c:crosses val="autoZero"/>
        <c:crossBetween val="midCat"/>
      </c:valAx>
      <c:spPr>
        <a:noFill/>
        <a:ln w="6350"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t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'Credit Portfolio'!$N$5</c:f>
              <c:strCache>
                <c:ptCount val="1"/>
                <c:pt idx="0">
                  <c:v>Monte Carlo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'Credit Portfolio'!$M$6:$M$427</c:f>
              <c:numCache>
                <c:formatCode>General</c:formatCode>
                <c:ptCount val="422"/>
                <c:pt idx="0">
                  <c:v>0</c:v>
                </c:pt>
                <c:pt idx="1">
                  <c:v>150</c:v>
                </c:pt>
                <c:pt idx="2">
                  <c:v>450</c:v>
                </c:pt>
                <c:pt idx="3">
                  <c:v>750</c:v>
                </c:pt>
                <c:pt idx="4">
                  <c:v>1050</c:v>
                </c:pt>
                <c:pt idx="5">
                  <c:v>1350.0000000000002</c:v>
                </c:pt>
                <c:pt idx="6">
                  <c:v>1650.0000000000002</c:v>
                </c:pt>
                <c:pt idx="7">
                  <c:v>1950.0000000000002</c:v>
                </c:pt>
                <c:pt idx="8">
                  <c:v>2250</c:v>
                </c:pt>
                <c:pt idx="9">
                  <c:v>2550</c:v>
                </c:pt>
                <c:pt idx="10">
                  <c:v>2850.0000000000005</c:v>
                </c:pt>
                <c:pt idx="11">
                  <c:v>3150.0000000000009</c:v>
                </c:pt>
                <c:pt idx="12">
                  <c:v>3450.0000000000009</c:v>
                </c:pt>
                <c:pt idx="13">
                  <c:v>3750.0000000000014</c:v>
                </c:pt>
                <c:pt idx="14">
                  <c:v>4050.0000000000014</c:v>
                </c:pt>
                <c:pt idx="15">
                  <c:v>4350.0000000000018</c:v>
                </c:pt>
                <c:pt idx="16">
                  <c:v>4650.0000000000018</c:v>
                </c:pt>
                <c:pt idx="17">
                  <c:v>4950.0000000000027</c:v>
                </c:pt>
                <c:pt idx="18">
                  <c:v>5250.0000000000027</c:v>
                </c:pt>
                <c:pt idx="19">
                  <c:v>5550.0000000000027</c:v>
                </c:pt>
                <c:pt idx="20">
                  <c:v>5850.0000000000027</c:v>
                </c:pt>
                <c:pt idx="21">
                  <c:v>6150.0000000000036</c:v>
                </c:pt>
                <c:pt idx="22">
                  <c:v>6450.0000000000036</c:v>
                </c:pt>
                <c:pt idx="23">
                  <c:v>6750.0000000000036</c:v>
                </c:pt>
                <c:pt idx="24">
                  <c:v>7050.0000000000045</c:v>
                </c:pt>
                <c:pt idx="25">
                  <c:v>7350.0000000000045</c:v>
                </c:pt>
                <c:pt idx="26">
                  <c:v>7650.0000000000045</c:v>
                </c:pt>
                <c:pt idx="27">
                  <c:v>7950.0000000000045</c:v>
                </c:pt>
                <c:pt idx="28">
                  <c:v>8250.0000000000055</c:v>
                </c:pt>
                <c:pt idx="29">
                  <c:v>8550.0000000000055</c:v>
                </c:pt>
                <c:pt idx="30">
                  <c:v>8850.0000000000055</c:v>
                </c:pt>
                <c:pt idx="31">
                  <c:v>9150.0000000000055</c:v>
                </c:pt>
                <c:pt idx="32">
                  <c:v>9450.0000000000055</c:v>
                </c:pt>
                <c:pt idx="33">
                  <c:v>9750.0000000000073</c:v>
                </c:pt>
                <c:pt idx="34">
                  <c:v>10050.000000000007</c:v>
                </c:pt>
                <c:pt idx="35">
                  <c:v>10350.000000000007</c:v>
                </c:pt>
                <c:pt idx="36">
                  <c:v>10650.000000000007</c:v>
                </c:pt>
                <c:pt idx="37">
                  <c:v>10950.000000000007</c:v>
                </c:pt>
                <c:pt idx="38">
                  <c:v>11250.000000000007</c:v>
                </c:pt>
                <c:pt idx="39">
                  <c:v>11550.000000000007</c:v>
                </c:pt>
                <c:pt idx="40">
                  <c:v>11850.000000000009</c:v>
                </c:pt>
                <c:pt idx="41">
                  <c:v>12150.000000000009</c:v>
                </c:pt>
                <c:pt idx="42">
                  <c:v>12450.000000000009</c:v>
                </c:pt>
                <c:pt idx="43">
                  <c:v>12750.000000000009</c:v>
                </c:pt>
                <c:pt idx="44">
                  <c:v>13050.000000000009</c:v>
                </c:pt>
                <c:pt idx="45">
                  <c:v>13350.000000000009</c:v>
                </c:pt>
                <c:pt idx="46">
                  <c:v>13650.000000000011</c:v>
                </c:pt>
                <c:pt idx="47">
                  <c:v>13950.000000000011</c:v>
                </c:pt>
                <c:pt idx="48">
                  <c:v>14250.000000000011</c:v>
                </c:pt>
                <c:pt idx="49">
                  <c:v>14550.000000000011</c:v>
                </c:pt>
                <c:pt idx="50">
                  <c:v>14850.000000000011</c:v>
                </c:pt>
                <c:pt idx="51">
                  <c:v>15150.000000000011</c:v>
                </c:pt>
                <c:pt idx="52">
                  <c:v>15450.000000000011</c:v>
                </c:pt>
                <c:pt idx="53">
                  <c:v>15750.000000000013</c:v>
                </c:pt>
                <c:pt idx="54">
                  <c:v>16050.000000000013</c:v>
                </c:pt>
                <c:pt idx="55">
                  <c:v>16350.000000000013</c:v>
                </c:pt>
                <c:pt idx="56">
                  <c:v>16650.000000000011</c:v>
                </c:pt>
                <c:pt idx="57">
                  <c:v>16950.000000000015</c:v>
                </c:pt>
                <c:pt idx="58">
                  <c:v>17250.000000000015</c:v>
                </c:pt>
                <c:pt idx="59">
                  <c:v>17550.000000000015</c:v>
                </c:pt>
                <c:pt idx="60">
                  <c:v>17850.000000000015</c:v>
                </c:pt>
                <c:pt idx="61">
                  <c:v>18150.000000000015</c:v>
                </c:pt>
                <c:pt idx="62">
                  <c:v>18450.000000000015</c:v>
                </c:pt>
                <c:pt idx="63">
                  <c:v>18750.000000000011</c:v>
                </c:pt>
                <c:pt idx="64">
                  <c:v>19050.000000000015</c:v>
                </c:pt>
                <c:pt idx="65">
                  <c:v>19350.000000000015</c:v>
                </c:pt>
                <c:pt idx="66">
                  <c:v>19650.000000000015</c:v>
                </c:pt>
                <c:pt idx="67">
                  <c:v>19950.000000000015</c:v>
                </c:pt>
                <c:pt idx="68">
                  <c:v>20250.000000000015</c:v>
                </c:pt>
                <c:pt idx="69">
                  <c:v>20550.000000000015</c:v>
                </c:pt>
                <c:pt idx="70">
                  <c:v>20850.000000000015</c:v>
                </c:pt>
                <c:pt idx="71">
                  <c:v>21150.000000000015</c:v>
                </c:pt>
                <c:pt idx="72">
                  <c:v>21450.000000000015</c:v>
                </c:pt>
                <c:pt idx="73">
                  <c:v>21750.000000000015</c:v>
                </c:pt>
                <c:pt idx="74">
                  <c:v>22050.000000000015</c:v>
                </c:pt>
                <c:pt idx="75">
                  <c:v>22350.000000000015</c:v>
                </c:pt>
                <c:pt idx="76">
                  <c:v>22650.000000000015</c:v>
                </c:pt>
                <c:pt idx="77">
                  <c:v>22950.000000000015</c:v>
                </c:pt>
                <c:pt idx="78">
                  <c:v>23250.000000000018</c:v>
                </c:pt>
                <c:pt idx="79">
                  <c:v>23550.000000000018</c:v>
                </c:pt>
                <c:pt idx="80">
                  <c:v>23850.000000000018</c:v>
                </c:pt>
                <c:pt idx="81">
                  <c:v>24150.000000000018</c:v>
                </c:pt>
                <c:pt idx="82">
                  <c:v>24450.000000000018</c:v>
                </c:pt>
                <c:pt idx="83">
                  <c:v>24750.000000000018</c:v>
                </c:pt>
                <c:pt idx="84">
                  <c:v>25050.000000000018</c:v>
                </c:pt>
                <c:pt idx="85">
                  <c:v>25350.000000000018</c:v>
                </c:pt>
                <c:pt idx="86">
                  <c:v>25650.000000000018</c:v>
                </c:pt>
                <c:pt idx="87">
                  <c:v>25950.000000000018</c:v>
                </c:pt>
                <c:pt idx="88">
                  <c:v>26250.000000000018</c:v>
                </c:pt>
                <c:pt idx="89">
                  <c:v>26550.000000000018</c:v>
                </c:pt>
                <c:pt idx="90">
                  <c:v>26850.000000000018</c:v>
                </c:pt>
                <c:pt idx="91">
                  <c:v>27150.000000000018</c:v>
                </c:pt>
                <c:pt idx="92">
                  <c:v>27450.000000000022</c:v>
                </c:pt>
                <c:pt idx="93">
                  <c:v>27750.000000000022</c:v>
                </c:pt>
                <c:pt idx="94">
                  <c:v>28050.000000000022</c:v>
                </c:pt>
                <c:pt idx="95">
                  <c:v>28350.000000000022</c:v>
                </c:pt>
                <c:pt idx="96">
                  <c:v>28650.000000000022</c:v>
                </c:pt>
                <c:pt idx="97">
                  <c:v>28950.000000000022</c:v>
                </c:pt>
                <c:pt idx="98">
                  <c:v>29250.000000000022</c:v>
                </c:pt>
                <c:pt idx="99">
                  <c:v>29550.000000000022</c:v>
                </c:pt>
                <c:pt idx="100">
                  <c:v>29850.000000000022</c:v>
                </c:pt>
                <c:pt idx="101">
                  <c:v>30150.000000000022</c:v>
                </c:pt>
                <c:pt idx="102">
                  <c:v>30450.000000000022</c:v>
                </c:pt>
                <c:pt idx="103">
                  <c:v>30750.000000000022</c:v>
                </c:pt>
                <c:pt idx="104">
                  <c:v>31050.000000000022</c:v>
                </c:pt>
                <c:pt idx="105">
                  <c:v>31350.000000000025</c:v>
                </c:pt>
                <c:pt idx="106">
                  <c:v>31650.000000000025</c:v>
                </c:pt>
                <c:pt idx="107">
                  <c:v>31950.000000000025</c:v>
                </c:pt>
                <c:pt idx="108">
                  <c:v>32250.000000000025</c:v>
                </c:pt>
                <c:pt idx="109">
                  <c:v>32550.000000000025</c:v>
                </c:pt>
                <c:pt idx="110">
                  <c:v>32850.000000000022</c:v>
                </c:pt>
                <c:pt idx="111">
                  <c:v>33150.000000000022</c:v>
                </c:pt>
                <c:pt idx="112">
                  <c:v>33450.000000000029</c:v>
                </c:pt>
                <c:pt idx="113">
                  <c:v>33750.000000000029</c:v>
                </c:pt>
                <c:pt idx="114">
                  <c:v>34050.000000000029</c:v>
                </c:pt>
                <c:pt idx="115">
                  <c:v>34350.000000000029</c:v>
                </c:pt>
                <c:pt idx="116">
                  <c:v>34650.000000000029</c:v>
                </c:pt>
                <c:pt idx="117">
                  <c:v>34950.000000000029</c:v>
                </c:pt>
                <c:pt idx="118">
                  <c:v>35250.000000000029</c:v>
                </c:pt>
                <c:pt idx="119">
                  <c:v>35550.000000000029</c:v>
                </c:pt>
                <c:pt idx="120">
                  <c:v>35850.000000000029</c:v>
                </c:pt>
                <c:pt idx="121">
                  <c:v>36150.000000000029</c:v>
                </c:pt>
                <c:pt idx="122">
                  <c:v>36450.000000000029</c:v>
                </c:pt>
                <c:pt idx="123">
                  <c:v>36750.000000000029</c:v>
                </c:pt>
                <c:pt idx="124">
                  <c:v>37050.000000000029</c:v>
                </c:pt>
                <c:pt idx="125">
                  <c:v>37350.000000000029</c:v>
                </c:pt>
                <c:pt idx="126">
                  <c:v>37650.000000000022</c:v>
                </c:pt>
                <c:pt idx="127">
                  <c:v>37950.000000000022</c:v>
                </c:pt>
                <c:pt idx="128">
                  <c:v>38250.000000000029</c:v>
                </c:pt>
                <c:pt idx="129">
                  <c:v>38550.000000000029</c:v>
                </c:pt>
                <c:pt idx="130">
                  <c:v>38850.000000000029</c:v>
                </c:pt>
                <c:pt idx="131">
                  <c:v>39150.000000000029</c:v>
                </c:pt>
                <c:pt idx="132">
                  <c:v>39450.000000000029</c:v>
                </c:pt>
                <c:pt idx="133">
                  <c:v>39750.000000000029</c:v>
                </c:pt>
                <c:pt idx="134">
                  <c:v>40050.000000000029</c:v>
                </c:pt>
                <c:pt idx="135">
                  <c:v>40350.000000000029</c:v>
                </c:pt>
                <c:pt idx="136">
                  <c:v>40650.000000000029</c:v>
                </c:pt>
                <c:pt idx="137">
                  <c:v>40950.000000000029</c:v>
                </c:pt>
                <c:pt idx="138">
                  <c:v>41250.000000000029</c:v>
                </c:pt>
                <c:pt idx="139">
                  <c:v>41550.000000000029</c:v>
                </c:pt>
                <c:pt idx="140">
                  <c:v>41850.000000000029</c:v>
                </c:pt>
                <c:pt idx="141">
                  <c:v>42150.000000000029</c:v>
                </c:pt>
                <c:pt idx="142">
                  <c:v>42450.000000000029</c:v>
                </c:pt>
                <c:pt idx="143">
                  <c:v>42750.000000000029</c:v>
                </c:pt>
                <c:pt idx="144">
                  <c:v>43050.000000000029</c:v>
                </c:pt>
                <c:pt idx="145">
                  <c:v>43350.000000000029</c:v>
                </c:pt>
                <c:pt idx="146">
                  <c:v>43650.000000000029</c:v>
                </c:pt>
                <c:pt idx="147">
                  <c:v>43950.000000000029</c:v>
                </c:pt>
                <c:pt idx="148">
                  <c:v>44250.000000000029</c:v>
                </c:pt>
                <c:pt idx="149">
                  <c:v>44550.000000000029</c:v>
                </c:pt>
                <c:pt idx="150">
                  <c:v>44850.000000000029</c:v>
                </c:pt>
                <c:pt idx="151">
                  <c:v>45150.000000000029</c:v>
                </c:pt>
                <c:pt idx="152">
                  <c:v>45450.000000000029</c:v>
                </c:pt>
                <c:pt idx="153">
                  <c:v>45750.000000000029</c:v>
                </c:pt>
                <c:pt idx="154">
                  <c:v>46050.000000000029</c:v>
                </c:pt>
                <c:pt idx="155">
                  <c:v>46350.000000000036</c:v>
                </c:pt>
                <c:pt idx="156">
                  <c:v>46650.000000000036</c:v>
                </c:pt>
                <c:pt idx="157">
                  <c:v>46950.000000000036</c:v>
                </c:pt>
                <c:pt idx="158">
                  <c:v>47250.000000000036</c:v>
                </c:pt>
                <c:pt idx="159">
                  <c:v>47550.000000000036</c:v>
                </c:pt>
                <c:pt idx="160">
                  <c:v>47850.000000000036</c:v>
                </c:pt>
                <c:pt idx="161">
                  <c:v>48150.000000000036</c:v>
                </c:pt>
                <c:pt idx="162">
                  <c:v>48450.000000000036</c:v>
                </c:pt>
                <c:pt idx="163">
                  <c:v>48750.000000000036</c:v>
                </c:pt>
                <c:pt idx="164">
                  <c:v>49050.000000000036</c:v>
                </c:pt>
                <c:pt idx="165">
                  <c:v>49350.000000000036</c:v>
                </c:pt>
                <c:pt idx="166">
                  <c:v>49650.000000000036</c:v>
                </c:pt>
                <c:pt idx="167">
                  <c:v>49950.000000000036</c:v>
                </c:pt>
                <c:pt idx="168">
                  <c:v>50250.000000000036</c:v>
                </c:pt>
                <c:pt idx="169">
                  <c:v>50550.000000000036</c:v>
                </c:pt>
                <c:pt idx="170">
                  <c:v>50850.000000000036</c:v>
                </c:pt>
                <c:pt idx="171">
                  <c:v>51150.000000000036</c:v>
                </c:pt>
                <c:pt idx="172">
                  <c:v>51450.000000000036</c:v>
                </c:pt>
                <c:pt idx="173">
                  <c:v>51750.000000000036</c:v>
                </c:pt>
                <c:pt idx="174">
                  <c:v>52050.000000000036</c:v>
                </c:pt>
                <c:pt idx="175">
                  <c:v>52350.000000000036</c:v>
                </c:pt>
                <c:pt idx="176">
                  <c:v>52650.000000000036</c:v>
                </c:pt>
                <c:pt idx="177">
                  <c:v>52950.000000000036</c:v>
                </c:pt>
                <c:pt idx="178">
                  <c:v>53250.000000000036</c:v>
                </c:pt>
                <c:pt idx="179">
                  <c:v>53550.000000000036</c:v>
                </c:pt>
                <c:pt idx="180">
                  <c:v>53850.000000000036</c:v>
                </c:pt>
                <c:pt idx="181">
                  <c:v>54150.000000000036</c:v>
                </c:pt>
                <c:pt idx="182">
                  <c:v>54450.000000000044</c:v>
                </c:pt>
                <c:pt idx="183">
                  <c:v>54750.000000000044</c:v>
                </c:pt>
                <c:pt idx="184">
                  <c:v>55050.000000000044</c:v>
                </c:pt>
                <c:pt idx="185">
                  <c:v>55350.000000000044</c:v>
                </c:pt>
                <c:pt idx="186">
                  <c:v>55650.000000000044</c:v>
                </c:pt>
                <c:pt idx="187">
                  <c:v>55950.000000000044</c:v>
                </c:pt>
                <c:pt idx="188">
                  <c:v>56250.000000000044</c:v>
                </c:pt>
                <c:pt idx="189">
                  <c:v>56550.000000000044</c:v>
                </c:pt>
                <c:pt idx="190">
                  <c:v>56850.000000000044</c:v>
                </c:pt>
                <c:pt idx="191">
                  <c:v>57150.000000000044</c:v>
                </c:pt>
                <c:pt idx="192">
                  <c:v>57450.000000000044</c:v>
                </c:pt>
                <c:pt idx="193">
                  <c:v>57750.000000000044</c:v>
                </c:pt>
                <c:pt idx="194">
                  <c:v>58050.000000000044</c:v>
                </c:pt>
                <c:pt idx="195">
                  <c:v>58350.000000000044</c:v>
                </c:pt>
                <c:pt idx="196">
                  <c:v>58650.000000000044</c:v>
                </c:pt>
                <c:pt idx="197">
                  <c:v>58950.000000000044</c:v>
                </c:pt>
                <c:pt idx="198">
                  <c:v>59250.000000000044</c:v>
                </c:pt>
                <c:pt idx="199">
                  <c:v>59550.000000000044</c:v>
                </c:pt>
                <c:pt idx="200">
                  <c:v>59850.000000000044</c:v>
                </c:pt>
                <c:pt idx="201">
                  <c:v>60150.000000000044</c:v>
                </c:pt>
                <c:pt idx="202">
                  <c:v>60450.000000000044</c:v>
                </c:pt>
                <c:pt idx="203">
                  <c:v>60750.000000000044</c:v>
                </c:pt>
                <c:pt idx="204">
                  <c:v>61050.000000000044</c:v>
                </c:pt>
                <c:pt idx="205">
                  <c:v>61350.000000000044</c:v>
                </c:pt>
                <c:pt idx="206">
                  <c:v>61650.000000000044</c:v>
                </c:pt>
                <c:pt idx="207">
                  <c:v>61950.000000000044</c:v>
                </c:pt>
                <c:pt idx="208">
                  <c:v>62250.000000000044</c:v>
                </c:pt>
                <c:pt idx="209">
                  <c:v>62550.000000000044</c:v>
                </c:pt>
                <c:pt idx="210">
                  <c:v>62850.000000000051</c:v>
                </c:pt>
                <c:pt idx="211">
                  <c:v>63150.000000000051</c:v>
                </c:pt>
                <c:pt idx="212">
                  <c:v>63450.000000000051</c:v>
                </c:pt>
                <c:pt idx="213">
                  <c:v>63750.000000000051</c:v>
                </c:pt>
                <c:pt idx="214">
                  <c:v>64050.000000000051</c:v>
                </c:pt>
                <c:pt idx="215">
                  <c:v>64350.000000000051</c:v>
                </c:pt>
                <c:pt idx="216">
                  <c:v>64650.000000000051</c:v>
                </c:pt>
                <c:pt idx="217">
                  <c:v>64950.000000000051</c:v>
                </c:pt>
                <c:pt idx="218">
                  <c:v>65250.000000000051</c:v>
                </c:pt>
                <c:pt idx="219">
                  <c:v>65550.000000000044</c:v>
                </c:pt>
                <c:pt idx="220">
                  <c:v>65850.000000000044</c:v>
                </c:pt>
                <c:pt idx="221">
                  <c:v>66150.000000000044</c:v>
                </c:pt>
                <c:pt idx="222">
                  <c:v>66450.000000000044</c:v>
                </c:pt>
                <c:pt idx="223">
                  <c:v>66750.000000000058</c:v>
                </c:pt>
                <c:pt idx="224">
                  <c:v>67050.000000000058</c:v>
                </c:pt>
                <c:pt idx="225">
                  <c:v>67350.000000000058</c:v>
                </c:pt>
                <c:pt idx="226">
                  <c:v>67650.000000000058</c:v>
                </c:pt>
                <c:pt idx="227">
                  <c:v>67950.000000000058</c:v>
                </c:pt>
                <c:pt idx="228">
                  <c:v>68250.000000000058</c:v>
                </c:pt>
                <c:pt idx="229">
                  <c:v>68550.000000000058</c:v>
                </c:pt>
                <c:pt idx="230">
                  <c:v>68850.000000000058</c:v>
                </c:pt>
                <c:pt idx="231">
                  <c:v>69150.000000000058</c:v>
                </c:pt>
                <c:pt idx="232">
                  <c:v>69450.000000000058</c:v>
                </c:pt>
                <c:pt idx="233">
                  <c:v>69750.000000000058</c:v>
                </c:pt>
                <c:pt idx="234">
                  <c:v>70050.000000000058</c:v>
                </c:pt>
                <c:pt idx="235">
                  <c:v>70350.000000000058</c:v>
                </c:pt>
                <c:pt idx="236">
                  <c:v>70650.000000000058</c:v>
                </c:pt>
                <c:pt idx="237">
                  <c:v>70950.000000000058</c:v>
                </c:pt>
                <c:pt idx="238">
                  <c:v>71250.000000000058</c:v>
                </c:pt>
                <c:pt idx="239">
                  <c:v>71550.000000000058</c:v>
                </c:pt>
                <c:pt idx="240">
                  <c:v>71850.000000000058</c:v>
                </c:pt>
                <c:pt idx="241">
                  <c:v>72150.000000000058</c:v>
                </c:pt>
                <c:pt idx="242">
                  <c:v>72450.000000000058</c:v>
                </c:pt>
                <c:pt idx="243">
                  <c:v>72750.000000000058</c:v>
                </c:pt>
                <c:pt idx="244">
                  <c:v>73050.000000000058</c:v>
                </c:pt>
                <c:pt idx="245">
                  <c:v>73350.000000000058</c:v>
                </c:pt>
                <c:pt idx="246">
                  <c:v>73650.000000000058</c:v>
                </c:pt>
                <c:pt idx="247">
                  <c:v>73950.000000000058</c:v>
                </c:pt>
                <c:pt idx="248">
                  <c:v>74250.000000000058</c:v>
                </c:pt>
                <c:pt idx="249">
                  <c:v>74550.000000000058</c:v>
                </c:pt>
                <c:pt idx="250">
                  <c:v>74850.000000000058</c:v>
                </c:pt>
                <c:pt idx="251">
                  <c:v>75150.000000000044</c:v>
                </c:pt>
                <c:pt idx="252">
                  <c:v>75450.000000000044</c:v>
                </c:pt>
                <c:pt idx="253">
                  <c:v>75750.000000000044</c:v>
                </c:pt>
                <c:pt idx="254">
                  <c:v>76050.000000000044</c:v>
                </c:pt>
                <c:pt idx="255">
                  <c:v>76350.000000000058</c:v>
                </c:pt>
                <c:pt idx="256">
                  <c:v>76650.000000000058</c:v>
                </c:pt>
                <c:pt idx="257">
                  <c:v>76950.000000000058</c:v>
                </c:pt>
                <c:pt idx="258">
                  <c:v>77250.000000000058</c:v>
                </c:pt>
                <c:pt idx="259">
                  <c:v>77550.000000000058</c:v>
                </c:pt>
                <c:pt idx="260">
                  <c:v>77850.000000000058</c:v>
                </c:pt>
                <c:pt idx="261">
                  <c:v>78150.000000000058</c:v>
                </c:pt>
                <c:pt idx="262">
                  <c:v>78450.000000000058</c:v>
                </c:pt>
                <c:pt idx="263">
                  <c:v>78750.000000000058</c:v>
                </c:pt>
                <c:pt idx="264">
                  <c:v>79050.000000000058</c:v>
                </c:pt>
                <c:pt idx="265">
                  <c:v>79350.000000000058</c:v>
                </c:pt>
                <c:pt idx="266">
                  <c:v>79650.000000000058</c:v>
                </c:pt>
                <c:pt idx="267">
                  <c:v>79950.000000000058</c:v>
                </c:pt>
                <c:pt idx="268">
                  <c:v>80250.000000000058</c:v>
                </c:pt>
                <c:pt idx="269">
                  <c:v>80550.000000000058</c:v>
                </c:pt>
                <c:pt idx="270">
                  <c:v>80850.000000000058</c:v>
                </c:pt>
                <c:pt idx="271">
                  <c:v>81150.000000000058</c:v>
                </c:pt>
                <c:pt idx="272">
                  <c:v>81450.000000000058</c:v>
                </c:pt>
                <c:pt idx="273">
                  <c:v>81750.000000000058</c:v>
                </c:pt>
                <c:pt idx="274">
                  <c:v>82050.000000000058</c:v>
                </c:pt>
                <c:pt idx="275">
                  <c:v>82350.000000000058</c:v>
                </c:pt>
                <c:pt idx="276">
                  <c:v>82650.000000000058</c:v>
                </c:pt>
                <c:pt idx="277">
                  <c:v>82950.000000000058</c:v>
                </c:pt>
                <c:pt idx="278">
                  <c:v>83250.000000000058</c:v>
                </c:pt>
                <c:pt idx="279">
                  <c:v>83550.000000000058</c:v>
                </c:pt>
                <c:pt idx="280">
                  <c:v>83850.000000000058</c:v>
                </c:pt>
                <c:pt idx="281">
                  <c:v>84150.000000000058</c:v>
                </c:pt>
                <c:pt idx="282">
                  <c:v>84450.000000000058</c:v>
                </c:pt>
                <c:pt idx="283">
                  <c:v>84750.000000000058</c:v>
                </c:pt>
                <c:pt idx="284">
                  <c:v>85050.000000000058</c:v>
                </c:pt>
                <c:pt idx="285">
                  <c:v>85350.000000000058</c:v>
                </c:pt>
                <c:pt idx="286">
                  <c:v>85650.000000000058</c:v>
                </c:pt>
                <c:pt idx="287">
                  <c:v>85950.000000000058</c:v>
                </c:pt>
                <c:pt idx="288">
                  <c:v>86250.000000000058</c:v>
                </c:pt>
                <c:pt idx="289">
                  <c:v>86550.000000000058</c:v>
                </c:pt>
                <c:pt idx="290">
                  <c:v>86850.000000000058</c:v>
                </c:pt>
                <c:pt idx="291">
                  <c:v>87150.000000000058</c:v>
                </c:pt>
                <c:pt idx="292">
                  <c:v>87450.000000000058</c:v>
                </c:pt>
                <c:pt idx="293">
                  <c:v>87750.000000000058</c:v>
                </c:pt>
                <c:pt idx="294">
                  <c:v>88050.000000000058</c:v>
                </c:pt>
                <c:pt idx="295">
                  <c:v>88350.000000000058</c:v>
                </c:pt>
                <c:pt idx="296">
                  <c:v>88650.000000000058</c:v>
                </c:pt>
                <c:pt idx="297">
                  <c:v>88950.000000000058</c:v>
                </c:pt>
                <c:pt idx="298">
                  <c:v>89250.000000000058</c:v>
                </c:pt>
                <c:pt idx="299">
                  <c:v>89550.000000000058</c:v>
                </c:pt>
                <c:pt idx="300">
                  <c:v>89850.000000000058</c:v>
                </c:pt>
                <c:pt idx="301">
                  <c:v>90150.000000000058</c:v>
                </c:pt>
                <c:pt idx="302">
                  <c:v>90450.000000000058</c:v>
                </c:pt>
                <c:pt idx="303">
                  <c:v>90750.000000000058</c:v>
                </c:pt>
                <c:pt idx="304">
                  <c:v>91050.000000000058</c:v>
                </c:pt>
                <c:pt idx="305">
                  <c:v>91350.000000000058</c:v>
                </c:pt>
                <c:pt idx="306">
                  <c:v>91650.000000000058</c:v>
                </c:pt>
                <c:pt idx="307">
                  <c:v>91950.000000000058</c:v>
                </c:pt>
                <c:pt idx="308">
                  <c:v>92250.000000000058</c:v>
                </c:pt>
                <c:pt idx="309">
                  <c:v>92550.000000000073</c:v>
                </c:pt>
                <c:pt idx="310">
                  <c:v>92850.000000000073</c:v>
                </c:pt>
                <c:pt idx="311">
                  <c:v>93150.000000000073</c:v>
                </c:pt>
                <c:pt idx="312">
                  <c:v>93450.000000000073</c:v>
                </c:pt>
                <c:pt idx="313">
                  <c:v>93750.000000000073</c:v>
                </c:pt>
                <c:pt idx="314">
                  <c:v>94050.000000000073</c:v>
                </c:pt>
                <c:pt idx="315">
                  <c:v>94350.000000000073</c:v>
                </c:pt>
                <c:pt idx="316">
                  <c:v>94650.000000000073</c:v>
                </c:pt>
                <c:pt idx="317">
                  <c:v>94950.000000000073</c:v>
                </c:pt>
                <c:pt idx="318">
                  <c:v>95250.000000000073</c:v>
                </c:pt>
                <c:pt idx="319">
                  <c:v>95550.000000000073</c:v>
                </c:pt>
                <c:pt idx="320">
                  <c:v>95850.000000000073</c:v>
                </c:pt>
                <c:pt idx="321">
                  <c:v>96150.000000000073</c:v>
                </c:pt>
                <c:pt idx="322">
                  <c:v>96450.000000000073</c:v>
                </c:pt>
                <c:pt idx="323">
                  <c:v>96750.000000000073</c:v>
                </c:pt>
                <c:pt idx="324">
                  <c:v>97050.000000000073</c:v>
                </c:pt>
                <c:pt idx="325">
                  <c:v>97350.000000000073</c:v>
                </c:pt>
                <c:pt idx="326">
                  <c:v>97650.000000000073</c:v>
                </c:pt>
                <c:pt idx="327">
                  <c:v>97950.000000000073</c:v>
                </c:pt>
                <c:pt idx="328">
                  <c:v>98250.000000000073</c:v>
                </c:pt>
                <c:pt idx="329">
                  <c:v>98550.000000000073</c:v>
                </c:pt>
                <c:pt idx="330">
                  <c:v>98850.000000000073</c:v>
                </c:pt>
                <c:pt idx="331">
                  <c:v>99150.000000000073</c:v>
                </c:pt>
                <c:pt idx="332">
                  <c:v>99450.000000000073</c:v>
                </c:pt>
                <c:pt idx="333">
                  <c:v>99750.000000000073</c:v>
                </c:pt>
                <c:pt idx="334">
                  <c:v>100050.00000000007</c:v>
                </c:pt>
                <c:pt idx="335">
                  <c:v>100350.00000000007</c:v>
                </c:pt>
                <c:pt idx="336">
                  <c:v>100650.00000000007</c:v>
                </c:pt>
                <c:pt idx="337">
                  <c:v>100950.00000000007</c:v>
                </c:pt>
                <c:pt idx="338">
                  <c:v>101250.00000000007</c:v>
                </c:pt>
                <c:pt idx="339">
                  <c:v>101550.00000000007</c:v>
                </c:pt>
                <c:pt idx="340">
                  <c:v>101850.00000000007</c:v>
                </c:pt>
                <c:pt idx="341">
                  <c:v>102150.00000000007</c:v>
                </c:pt>
                <c:pt idx="342">
                  <c:v>102450.00000000007</c:v>
                </c:pt>
                <c:pt idx="343">
                  <c:v>102750.00000000007</c:v>
                </c:pt>
                <c:pt idx="344">
                  <c:v>103050.00000000007</c:v>
                </c:pt>
                <c:pt idx="345">
                  <c:v>103350.00000000007</c:v>
                </c:pt>
                <c:pt idx="346">
                  <c:v>103650.00000000007</c:v>
                </c:pt>
                <c:pt idx="347">
                  <c:v>103950.00000000007</c:v>
                </c:pt>
                <c:pt idx="348">
                  <c:v>104250.00000000007</c:v>
                </c:pt>
                <c:pt idx="349">
                  <c:v>104550.00000000007</c:v>
                </c:pt>
                <c:pt idx="350">
                  <c:v>104850.00000000007</c:v>
                </c:pt>
                <c:pt idx="351">
                  <c:v>105150.00000000007</c:v>
                </c:pt>
                <c:pt idx="352">
                  <c:v>105450.00000000007</c:v>
                </c:pt>
                <c:pt idx="353">
                  <c:v>105750.00000000007</c:v>
                </c:pt>
                <c:pt idx="354">
                  <c:v>106050.00000000007</c:v>
                </c:pt>
                <c:pt idx="355">
                  <c:v>106350.00000000007</c:v>
                </c:pt>
                <c:pt idx="356">
                  <c:v>106650.00000000007</c:v>
                </c:pt>
                <c:pt idx="357">
                  <c:v>106950.00000000007</c:v>
                </c:pt>
                <c:pt idx="358">
                  <c:v>107250.00000000007</c:v>
                </c:pt>
                <c:pt idx="359">
                  <c:v>107550.00000000007</c:v>
                </c:pt>
                <c:pt idx="360">
                  <c:v>107850.00000000007</c:v>
                </c:pt>
                <c:pt idx="361">
                  <c:v>108150.00000000007</c:v>
                </c:pt>
                <c:pt idx="362">
                  <c:v>108450.00000000007</c:v>
                </c:pt>
                <c:pt idx="363">
                  <c:v>108750.00000000007</c:v>
                </c:pt>
                <c:pt idx="364">
                  <c:v>109050.00000000009</c:v>
                </c:pt>
                <c:pt idx="365">
                  <c:v>109350.00000000009</c:v>
                </c:pt>
                <c:pt idx="366">
                  <c:v>109650.00000000009</c:v>
                </c:pt>
                <c:pt idx="367">
                  <c:v>109950.00000000009</c:v>
                </c:pt>
                <c:pt idx="368">
                  <c:v>110250.00000000009</c:v>
                </c:pt>
                <c:pt idx="369">
                  <c:v>110550.00000000009</c:v>
                </c:pt>
                <c:pt idx="370">
                  <c:v>110850.00000000009</c:v>
                </c:pt>
                <c:pt idx="371">
                  <c:v>111150.00000000009</c:v>
                </c:pt>
                <c:pt idx="372">
                  <c:v>111450.00000000009</c:v>
                </c:pt>
                <c:pt idx="373">
                  <c:v>111750.00000000009</c:v>
                </c:pt>
                <c:pt idx="374">
                  <c:v>112050.00000000009</c:v>
                </c:pt>
                <c:pt idx="375">
                  <c:v>112350.00000000009</c:v>
                </c:pt>
                <c:pt idx="376">
                  <c:v>112650.00000000009</c:v>
                </c:pt>
                <c:pt idx="377">
                  <c:v>112950.00000000009</c:v>
                </c:pt>
                <c:pt idx="378">
                  <c:v>113250.00000000009</c:v>
                </c:pt>
                <c:pt idx="379">
                  <c:v>113550.00000000009</c:v>
                </c:pt>
                <c:pt idx="380">
                  <c:v>113850.00000000009</c:v>
                </c:pt>
                <c:pt idx="381">
                  <c:v>114150.00000000009</c:v>
                </c:pt>
                <c:pt idx="382">
                  <c:v>114450.00000000009</c:v>
                </c:pt>
                <c:pt idx="383">
                  <c:v>114750.00000000009</c:v>
                </c:pt>
                <c:pt idx="384">
                  <c:v>115050.00000000009</c:v>
                </c:pt>
                <c:pt idx="385">
                  <c:v>115350.00000000009</c:v>
                </c:pt>
                <c:pt idx="386">
                  <c:v>115650.00000000009</c:v>
                </c:pt>
                <c:pt idx="387">
                  <c:v>115950.00000000009</c:v>
                </c:pt>
                <c:pt idx="388">
                  <c:v>116250.00000000009</c:v>
                </c:pt>
                <c:pt idx="389">
                  <c:v>116550.00000000009</c:v>
                </c:pt>
                <c:pt idx="390">
                  <c:v>116850.00000000009</c:v>
                </c:pt>
                <c:pt idx="391">
                  <c:v>117150.00000000009</c:v>
                </c:pt>
                <c:pt idx="392">
                  <c:v>117450.00000000009</c:v>
                </c:pt>
                <c:pt idx="393">
                  <c:v>117750.00000000009</c:v>
                </c:pt>
                <c:pt idx="394">
                  <c:v>118050.00000000009</c:v>
                </c:pt>
                <c:pt idx="395">
                  <c:v>118350.00000000009</c:v>
                </c:pt>
                <c:pt idx="396">
                  <c:v>118650.00000000009</c:v>
                </c:pt>
                <c:pt idx="397">
                  <c:v>118950.00000000009</c:v>
                </c:pt>
                <c:pt idx="398">
                  <c:v>119250.00000000009</c:v>
                </c:pt>
                <c:pt idx="399">
                  <c:v>119550.00000000009</c:v>
                </c:pt>
                <c:pt idx="400">
                  <c:v>119850.00000000009</c:v>
                </c:pt>
                <c:pt idx="401">
                  <c:v>120150.00000000009</c:v>
                </c:pt>
                <c:pt idx="402">
                  <c:v>120450.00000000009</c:v>
                </c:pt>
                <c:pt idx="403">
                  <c:v>120750.00000000009</c:v>
                </c:pt>
                <c:pt idx="404">
                  <c:v>121050.00000000009</c:v>
                </c:pt>
                <c:pt idx="405">
                  <c:v>121350.00000000009</c:v>
                </c:pt>
                <c:pt idx="406">
                  <c:v>121650.00000000009</c:v>
                </c:pt>
                <c:pt idx="407">
                  <c:v>121950.00000000009</c:v>
                </c:pt>
                <c:pt idx="408">
                  <c:v>122250.00000000009</c:v>
                </c:pt>
                <c:pt idx="409">
                  <c:v>122550.00000000009</c:v>
                </c:pt>
                <c:pt idx="410">
                  <c:v>122850.00000000009</c:v>
                </c:pt>
                <c:pt idx="411">
                  <c:v>123150.00000000009</c:v>
                </c:pt>
                <c:pt idx="412">
                  <c:v>123450.00000000009</c:v>
                </c:pt>
                <c:pt idx="413">
                  <c:v>123750.00000000009</c:v>
                </c:pt>
                <c:pt idx="414">
                  <c:v>124050.00000000009</c:v>
                </c:pt>
                <c:pt idx="415">
                  <c:v>124350.00000000009</c:v>
                </c:pt>
                <c:pt idx="416">
                  <c:v>124650.00000000009</c:v>
                </c:pt>
                <c:pt idx="417">
                  <c:v>124950.00000000009</c:v>
                </c:pt>
                <c:pt idx="418">
                  <c:v>125250.00000000009</c:v>
                </c:pt>
                <c:pt idx="419">
                  <c:v>125550.0000000001</c:v>
                </c:pt>
                <c:pt idx="420">
                  <c:v>125850.0000000001</c:v>
                </c:pt>
                <c:pt idx="421">
                  <c:v>126150.0000000001</c:v>
                </c:pt>
              </c:numCache>
            </c:numRef>
          </c:xVal>
          <c:yVal>
            <c:numRef>
              <c:f>'Credit Portfolio'!$N$6:$N$427</c:f>
              <c:numCache>
                <c:formatCode>0.00000</c:formatCode>
                <c:ptCount val="4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 formatCode="0.000000">
                  <c:v>0</c:v>
                </c:pt>
                <c:pt idx="60" formatCode="0.000000">
                  <c:v>0</c:v>
                </c:pt>
                <c:pt idx="61" formatCode="0.000000">
                  <c:v>0</c:v>
                </c:pt>
                <c:pt idx="62" formatCode="0.000000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 formatCode="0.0000000">
                  <c:v>0</c:v>
                </c:pt>
                <c:pt idx="75" formatCode="0.00000000">
                  <c:v>0</c:v>
                </c:pt>
                <c:pt idx="76" formatCode="0.00000000">
                  <c:v>0</c:v>
                </c:pt>
                <c:pt idx="77" formatCode="0.00000000">
                  <c:v>0</c:v>
                </c:pt>
                <c:pt idx="78" formatCode="0.00000000">
                  <c:v>0</c:v>
                </c:pt>
                <c:pt idx="79" formatCode="0.00000000">
                  <c:v>0</c:v>
                </c:pt>
                <c:pt idx="80" formatCode="0.00000000">
                  <c:v>0</c:v>
                </c:pt>
                <c:pt idx="81" formatCode="0.00000000">
                  <c:v>0</c:v>
                </c:pt>
                <c:pt idx="82" formatCode="0.00000000">
                  <c:v>0</c:v>
                </c:pt>
                <c:pt idx="83" formatCode="0.00000000">
                  <c:v>0</c:v>
                </c:pt>
                <c:pt idx="84" formatCode="0.00000000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04-4BA5-B2EC-6C04CD4B7B56}"/>
            </c:ext>
          </c:extLst>
        </c:ser>
        <c:ser>
          <c:idx val="2"/>
          <c:order val="1"/>
          <c:tx>
            <c:strRef>
              <c:f>'Credit Portfolio'!$O$5</c:f>
              <c:strCache>
                <c:ptCount val="1"/>
                <c:pt idx="0">
                  <c:v>Conditional Normal Approximation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'Credit Portfolio'!$M$6:$M$427</c:f>
              <c:numCache>
                <c:formatCode>General</c:formatCode>
                <c:ptCount val="422"/>
                <c:pt idx="0">
                  <c:v>0</c:v>
                </c:pt>
                <c:pt idx="1">
                  <c:v>150</c:v>
                </c:pt>
                <c:pt idx="2">
                  <c:v>450</c:v>
                </c:pt>
                <c:pt idx="3">
                  <c:v>750</c:v>
                </c:pt>
                <c:pt idx="4">
                  <c:v>1050</c:v>
                </c:pt>
                <c:pt idx="5">
                  <c:v>1350.0000000000002</c:v>
                </c:pt>
                <c:pt idx="6">
                  <c:v>1650.0000000000002</c:v>
                </c:pt>
                <c:pt idx="7">
                  <c:v>1950.0000000000002</c:v>
                </c:pt>
                <c:pt idx="8">
                  <c:v>2250</c:v>
                </c:pt>
                <c:pt idx="9">
                  <c:v>2550</c:v>
                </c:pt>
                <c:pt idx="10">
                  <c:v>2850.0000000000005</c:v>
                </c:pt>
                <c:pt idx="11">
                  <c:v>3150.0000000000009</c:v>
                </c:pt>
                <c:pt idx="12">
                  <c:v>3450.0000000000009</c:v>
                </c:pt>
                <c:pt idx="13">
                  <c:v>3750.0000000000014</c:v>
                </c:pt>
                <c:pt idx="14">
                  <c:v>4050.0000000000014</c:v>
                </c:pt>
                <c:pt idx="15">
                  <c:v>4350.0000000000018</c:v>
                </c:pt>
                <c:pt idx="16">
                  <c:v>4650.0000000000018</c:v>
                </c:pt>
                <c:pt idx="17">
                  <c:v>4950.0000000000027</c:v>
                </c:pt>
                <c:pt idx="18">
                  <c:v>5250.0000000000027</c:v>
                </c:pt>
                <c:pt idx="19">
                  <c:v>5550.0000000000027</c:v>
                </c:pt>
                <c:pt idx="20">
                  <c:v>5850.0000000000027</c:v>
                </c:pt>
                <c:pt idx="21">
                  <c:v>6150.0000000000036</c:v>
                </c:pt>
                <c:pt idx="22">
                  <c:v>6450.0000000000036</c:v>
                </c:pt>
                <c:pt idx="23">
                  <c:v>6750.0000000000036</c:v>
                </c:pt>
                <c:pt idx="24">
                  <c:v>7050.0000000000045</c:v>
                </c:pt>
                <c:pt idx="25">
                  <c:v>7350.0000000000045</c:v>
                </c:pt>
                <c:pt idx="26">
                  <c:v>7650.0000000000045</c:v>
                </c:pt>
                <c:pt idx="27">
                  <c:v>7950.0000000000045</c:v>
                </c:pt>
                <c:pt idx="28">
                  <c:v>8250.0000000000055</c:v>
                </c:pt>
                <c:pt idx="29">
                  <c:v>8550.0000000000055</c:v>
                </c:pt>
                <c:pt idx="30">
                  <c:v>8850.0000000000055</c:v>
                </c:pt>
                <c:pt idx="31">
                  <c:v>9150.0000000000055</c:v>
                </c:pt>
                <c:pt idx="32">
                  <c:v>9450.0000000000055</c:v>
                </c:pt>
                <c:pt idx="33">
                  <c:v>9750.0000000000073</c:v>
                </c:pt>
                <c:pt idx="34">
                  <c:v>10050.000000000007</c:v>
                </c:pt>
                <c:pt idx="35">
                  <c:v>10350.000000000007</c:v>
                </c:pt>
                <c:pt idx="36">
                  <c:v>10650.000000000007</c:v>
                </c:pt>
                <c:pt idx="37">
                  <c:v>10950.000000000007</c:v>
                </c:pt>
                <c:pt idx="38">
                  <c:v>11250.000000000007</c:v>
                </c:pt>
                <c:pt idx="39">
                  <c:v>11550.000000000007</c:v>
                </c:pt>
                <c:pt idx="40">
                  <c:v>11850.000000000009</c:v>
                </c:pt>
                <c:pt idx="41">
                  <c:v>12150.000000000009</c:v>
                </c:pt>
                <c:pt idx="42">
                  <c:v>12450.000000000009</c:v>
                </c:pt>
                <c:pt idx="43">
                  <c:v>12750.000000000009</c:v>
                </c:pt>
                <c:pt idx="44">
                  <c:v>13050.000000000009</c:v>
                </c:pt>
                <c:pt idx="45">
                  <c:v>13350.000000000009</c:v>
                </c:pt>
                <c:pt idx="46">
                  <c:v>13650.000000000011</c:v>
                </c:pt>
                <c:pt idx="47">
                  <c:v>13950.000000000011</c:v>
                </c:pt>
                <c:pt idx="48">
                  <c:v>14250.000000000011</c:v>
                </c:pt>
                <c:pt idx="49">
                  <c:v>14550.000000000011</c:v>
                </c:pt>
                <c:pt idx="50">
                  <c:v>14850.000000000011</c:v>
                </c:pt>
                <c:pt idx="51">
                  <c:v>15150.000000000011</c:v>
                </c:pt>
                <c:pt idx="52">
                  <c:v>15450.000000000011</c:v>
                </c:pt>
                <c:pt idx="53">
                  <c:v>15750.000000000013</c:v>
                </c:pt>
                <c:pt idx="54">
                  <c:v>16050.000000000013</c:v>
                </c:pt>
                <c:pt idx="55">
                  <c:v>16350.000000000013</c:v>
                </c:pt>
                <c:pt idx="56">
                  <c:v>16650.000000000011</c:v>
                </c:pt>
                <c:pt idx="57">
                  <c:v>16950.000000000015</c:v>
                </c:pt>
                <c:pt idx="58">
                  <c:v>17250.000000000015</c:v>
                </c:pt>
                <c:pt idx="59">
                  <c:v>17550.000000000015</c:v>
                </c:pt>
                <c:pt idx="60">
                  <c:v>17850.000000000015</c:v>
                </c:pt>
                <c:pt idx="61">
                  <c:v>18150.000000000015</c:v>
                </c:pt>
                <c:pt idx="62">
                  <c:v>18450.000000000015</c:v>
                </c:pt>
                <c:pt idx="63">
                  <c:v>18750.000000000011</c:v>
                </c:pt>
                <c:pt idx="64">
                  <c:v>19050.000000000015</c:v>
                </c:pt>
                <c:pt idx="65">
                  <c:v>19350.000000000015</c:v>
                </c:pt>
                <c:pt idx="66">
                  <c:v>19650.000000000015</c:v>
                </c:pt>
                <c:pt idx="67">
                  <c:v>19950.000000000015</c:v>
                </c:pt>
                <c:pt idx="68">
                  <c:v>20250.000000000015</c:v>
                </c:pt>
                <c:pt idx="69">
                  <c:v>20550.000000000015</c:v>
                </c:pt>
                <c:pt idx="70">
                  <c:v>20850.000000000015</c:v>
                </c:pt>
                <c:pt idx="71">
                  <c:v>21150.000000000015</c:v>
                </c:pt>
                <c:pt idx="72">
                  <c:v>21450.000000000015</c:v>
                </c:pt>
                <c:pt idx="73">
                  <c:v>21750.000000000015</c:v>
                </c:pt>
                <c:pt idx="74">
                  <c:v>22050.000000000015</c:v>
                </c:pt>
                <c:pt idx="75">
                  <c:v>22350.000000000015</c:v>
                </c:pt>
                <c:pt idx="76">
                  <c:v>22650.000000000015</c:v>
                </c:pt>
                <c:pt idx="77">
                  <c:v>22950.000000000015</c:v>
                </c:pt>
                <c:pt idx="78">
                  <c:v>23250.000000000018</c:v>
                </c:pt>
                <c:pt idx="79">
                  <c:v>23550.000000000018</c:v>
                </c:pt>
                <c:pt idx="80">
                  <c:v>23850.000000000018</c:v>
                </c:pt>
                <c:pt idx="81">
                  <c:v>24150.000000000018</c:v>
                </c:pt>
                <c:pt idx="82">
                  <c:v>24450.000000000018</c:v>
                </c:pt>
                <c:pt idx="83">
                  <c:v>24750.000000000018</c:v>
                </c:pt>
                <c:pt idx="84">
                  <c:v>25050.000000000018</c:v>
                </c:pt>
                <c:pt idx="85">
                  <c:v>25350.000000000018</c:v>
                </c:pt>
                <c:pt idx="86">
                  <c:v>25650.000000000018</c:v>
                </c:pt>
                <c:pt idx="87">
                  <c:v>25950.000000000018</c:v>
                </c:pt>
                <c:pt idx="88">
                  <c:v>26250.000000000018</c:v>
                </c:pt>
                <c:pt idx="89">
                  <c:v>26550.000000000018</c:v>
                </c:pt>
                <c:pt idx="90">
                  <c:v>26850.000000000018</c:v>
                </c:pt>
                <c:pt idx="91">
                  <c:v>27150.000000000018</c:v>
                </c:pt>
                <c:pt idx="92">
                  <c:v>27450.000000000022</c:v>
                </c:pt>
                <c:pt idx="93">
                  <c:v>27750.000000000022</c:v>
                </c:pt>
                <c:pt idx="94">
                  <c:v>28050.000000000022</c:v>
                </c:pt>
                <c:pt idx="95">
                  <c:v>28350.000000000022</c:v>
                </c:pt>
                <c:pt idx="96">
                  <c:v>28650.000000000022</c:v>
                </c:pt>
                <c:pt idx="97">
                  <c:v>28950.000000000022</c:v>
                </c:pt>
                <c:pt idx="98">
                  <c:v>29250.000000000022</c:v>
                </c:pt>
                <c:pt idx="99">
                  <c:v>29550.000000000022</c:v>
                </c:pt>
                <c:pt idx="100">
                  <c:v>29850.000000000022</c:v>
                </c:pt>
                <c:pt idx="101">
                  <c:v>30150.000000000022</c:v>
                </c:pt>
                <c:pt idx="102">
                  <c:v>30450.000000000022</c:v>
                </c:pt>
                <c:pt idx="103">
                  <c:v>30750.000000000022</c:v>
                </c:pt>
                <c:pt idx="104">
                  <c:v>31050.000000000022</c:v>
                </c:pt>
                <c:pt idx="105">
                  <c:v>31350.000000000025</c:v>
                </c:pt>
                <c:pt idx="106">
                  <c:v>31650.000000000025</c:v>
                </c:pt>
                <c:pt idx="107">
                  <c:v>31950.000000000025</c:v>
                </c:pt>
                <c:pt idx="108">
                  <c:v>32250.000000000025</c:v>
                </c:pt>
                <c:pt idx="109">
                  <c:v>32550.000000000025</c:v>
                </c:pt>
                <c:pt idx="110">
                  <c:v>32850.000000000022</c:v>
                </c:pt>
                <c:pt idx="111">
                  <c:v>33150.000000000022</c:v>
                </c:pt>
                <c:pt idx="112">
                  <c:v>33450.000000000029</c:v>
                </c:pt>
                <c:pt idx="113">
                  <c:v>33750.000000000029</c:v>
                </c:pt>
                <c:pt idx="114">
                  <c:v>34050.000000000029</c:v>
                </c:pt>
                <c:pt idx="115">
                  <c:v>34350.000000000029</c:v>
                </c:pt>
                <c:pt idx="116">
                  <c:v>34650.000000000029</c:v>
                </c:pt>
                <c:pt idx="117">
                  <c:v>34950.000000000029</c:v>
                </c:pt>
                <c:pt idx="118">
                  <c:v>35250.000000000029</c:v>
                </c:pt>
                <c:pt idx="119">
                  <c:v>35550.000000000029</c:v>
                </c:pt>
                <c:pt idx="120">
                  <c:v>35850.000000000029</c:v>
                </c:pt>
                <c:pt idx="121">
                  <c:v>36150.000000000029</c:v>
                </c:pt>
                <c:pt idx="122">
                  <c:v>36450.000000000029</c:v>
                </c:pt>
                <c:pt idx="123">
                  <c:v>36750.000000000029</c:v>
                </c:pt>
                <c:pt idx="124">
                  <c:v>37050.000000000029</c:v>
                </c:pt>
                <c:pt idx="125">
                  <c:v>37350.000000000029</c:v>
                </c:pt>
                <c:pt idx="126">
                  <c:v>37650.000000000022</c:v>
                </c:pt>
                <c:pt idx="127">
                  <c:v>37950.000000000022</c:v>
                </c:pt>
                <c:pt idx="128">
                  <c:v>38250.000000000029</c:v>
                </c:pt>
                <c:pt idx="129">
                  <c:v>38550.000000000029</c:v>
                </c:pt>
                <c:pt idx="130">
                  <c:v>38850.000000000029</c:v>
                </c:pt>
                <c:pt idx="131">
                  <c:v>39150.000000000029</c:v>
                </c:pt>
                <c:pt idx="132">
                  <c:v>39450.000000000029</c:v>
                </c:pt>
                <c:pt idx="133">
                  <c:v>39750.000000000029</c:v>
                </c:pt>
                <c:pt idx="134">
                  <c:v>40050.000000000029</c:v>
                </c:pt>
                <c:pt idx="135">
                  <c:v>40350.000000000029</c:v>
                </c:pt>
                <c:pt idx="136">
                  <c:v>40650.000000000029</c:v>
                </c:pt>
                <c:pt idx="137">
                  <c:v>40950.000000000029</c:v>
                </c:pt>
                <c:pt idx="138">
                  <c:v>41250.000000000029</c:v>
                </c:pt>
                <c:pt idx="139">
                  <c:v>41550.000000000029</c:v>
                </c:pt>
                <c:pt idx="140">
                  <c:v>41850.000000000029</c:v>
                </c:pt>
                <c:pt idx="141">
                  <c:v>42150.000000000029</c:v>
                </c:pt>
                <c:pt idx="142">
                  <c:v>42450.000000000029</c:v>
                </c:pt>
                <c:pt idx="143">
                  <c:v>42750.000000000029</c:v>
                </c:pt>
                <c:pt idx="144">
                  <c:v>43050.000000000029</c:v>
                </c:pt>
                <c:pt idx="145">
                  <c:v>43350.000000000029</c:v>
                </c:pt>
                <c:pt idx="146">
                  <c:v>43650.000000000029</c:v>
                </c:pt>
                <c:pt idx="147">
                  <c:v>43950.000000000029</c:v>
                </c:pt>
                <c:pt idx="148">
                  <c:v>44250.000000000029</c:v>
                </c:pt>
                <c:pt idx="149">
                  <c:v>44550.000000000029</c:v>
                </c:pt>
                <c:pt idx="150">
                  <c:v>44850.000000000029</c:v>
                </c:pt>
                <c:pt idx="151">
                  <c:v>45150.000000000029</c:v>
                </c:pt>
                <c:pt idx="152">
                  <c:v>45450.000000000029</c:v>
                </c:pt>
                <c:pt idx="153">
                  <c:v>45750.000000000029</c:v>
                </c:pt>
                <c:pt idx="154">
                  <c:v>46050.000000000029</c:v>
                </c:pt>
                <c:pt idx="155">
                  <c:v>46350.000000000036</c:v>
                </c:pt>
                <c:pt idx="156">
                  <c:v>46650.000000000036</c:v>
                </c:pt>
                <c:pt idx="157">
                  <c:v>46950.000000000036</c:v>
                </c:pt>
                <c:pt idx="158">
                  <c:v>47250.000000000036</c:v>
                </c:pt>
                <c:pt idx="159">
                  <c:v>47550.000000000036</c:v>
                </c:pt>
                <c:pt idx="160">
                  <c:v>47850.000000000036</c:v>
                </c:pt>
                <c:pt idx="161">
                  <c:v>48150.000000000036</c:v>
                </c:pt>
                <c:pt idx="162">
                  <c:v>48450.000000000036</c:v>
                </c:pt>
                <c:pt idx="163">
                  <c:v>48750.000000000036</c:v>
                </c:pt>
                <c:pt idx="164">
                  <c:v>49050.000000000036</c:v>
                </c:pt>
                <c:pt idx="165">
                  <c:v>49350.000000000036</c:v>
                </c:pt>
                <c:pt idx="166">
                  <c:v>49650.000000000036</c:v>
                </c:pt>
                <c:pt idx="167">
                  <c:v>49950.000000000036</c:v>
                </c:pt>
                <c:pt idx="168">
                  <c:v>50250.000000000036</c:v>
                </c:pt>
                <c:pt idx="169">
                  <c:v>50550.000000000036</c:v>
                </c:pt>
                <c:pt idx="170">
                  <c:v>50850.000000000036</c:v>
                </c:pt>
                <c:pt idx="171">
                  <c:v>51150.000000000036</c:v>
                </c:pt>
                <c:pt idx="172">
                  <c:v>51450.000000000036</c:v>
                </c:pt>
                <c:pt idx="173">
                  <c:v>51750.000000000036</c:v>
                </c:pt>
                <c:pt idx="174">
                  <c:v>52050.000000000036</c:v>
                </c:pt>
                <c:pt idx="175">
                  <c:v>52350.000000000036</c:v>
                </c:pt>
                <c:pt idx="176">
                  <c:v>52650.000000000036</c:v>
                </c:pt>
                <c:pt idx="177">
                  <c:v>52950.000000000036</c:v>
                </c:pt>
                <c:pt idx="178">
                  <c:v>53250.000000000036</c:v>
                </c:pt>
                <c:pt idx="179">
                  <c:v>53550.000000000036</c:v>
                </c:pt>
                <c:pt idx="180">
                  <c:v>53850.000000000036</c:v>
                </c:pt>
                <c:pt idx="181">
                  <c:v>54150.000000000036</c:v>
                </c:pt>
                <c:pt idx="182">
                  <c:v>54450.000000000044</c:v>
                </c:pt>
                <c:pt idx="183">
                  <c:v>54750.000000000044</c:v>
                </c:pt>
                <c:pt idx="184">
                  <c:v>55050.000000000044</c:v>
                </c:pt>
                <c:pt idx="185">
                  <c:v>55350.000000000044</c:v>
                </c:pt>
                <c:pt idx="186">
                  <c:v>55650.000000000044</c:v>
                </c:pt>
                <c:pt idx="187">
                  <c:v>55950.000000000044</c:v>
                </c:pt>
                <c:pt idx="188">
                  <c:v>56250.000000000044</c:v>
                </c:pt>
                <c:pt idx="189">
                  <c:v>56550.000000000044</c:v>
                </c:pt>
                <c:pt idx="190">
                  <c:v>56850.000000000044</c:v>
                </c:pt>
                <c:pt idx="191">
                  <c:v>57150.000000000044</c:v>
                </c:pt>
                <c:pt idx="192">
                  <c:v>57450.000000000044</c:v>
                </c:pt>
                <c:pt idx="193">
                  <c:v>57750.000000000044</c:v>
                </c:pt>
                <c:pt idx="194">
                  <c:v>58050.000000000044</c:v>
                </c:pt>
                <c:pt idx="195">
                  <c:v>58350.000000000044</c:v>
                </c:pt>
                <c:pt idx="196">
                  <c:v>58650.000000000044</c:v>
                </c:pt>
                <c:pt idx="197">
                  <c:v>58950.000000000044</c:v>
                </c:pt>
                <c:pt idx="198">
                  <c:v>59250.000000000044</c:v>
                </c:pt>
                <c:pt idx="199">
                  <c:v>59550.000000000044</c:v>
                </c:pt>
                <c:pt idx="200">
                  <c:v>59850.000000000044</c:v>
                </c:pt>
                <c:pt idx="201">
                  <c:v>60150.000000000044</c:v>
                </c:pt>
                <c:pt idx="202">
                  <c:v>60450.000000000044</c:v>
                </c:pt>
                <c:pt idx="203">
                  <c:v>60750.000000000044</c:v>
                </c:pt>
                <c:pt idx="204">
                  <c:v>61050.000000000044</c:v>
                </c:pt>
                <c:pt idx="205">
                  <c:v>61350.000000000044</c:v>
                </c:pt>
                <c:pt idx="206">
                  <c:v>61650.000000000044</c:v>
                </c:pt>
                <c:pt idx="207">
                  <c:v>61950.000000000044</c:v>
                </c:pt>
                <c:pt idx="208">
                  <c:v>62250.000000000044</c:v>
                </c:pt>
                <c:pt idx="209">
                  <c:v>62550.000000000044</c:v>
                </c:pt>
                <c:pt idx="210">
                  <c:v>62850.000000000051</c:v>
                </c:pt>
                <c:pt idx="211">
                  <c:v>63150.000000000051</c:v>
                </c:pt>
                <c:pt idx="212">
                  <c:v>63450.000000000051</c:v>
                </c:pt>
                <c:pt idx="213">
                  <c:v>63750.000000000051</c:v>
                </c:pt>
                <c:pt idx="214">
                  <c:v>64050.000000000051</c:v>
                </c:pt>
                <c:pt idx="215">
                  <c:v>64350.000000000051</c:v>
                </c:pt>
                <c:pt idx="216">
                  <c:v>64650.000000000051</c:v>
                </c:pt>
                <c:pt idx="217">
                  <c:v>64950.000000000051</c:v>
                </c:pt>
                <c:pt idx="218">
                  <c:v>65250.000000000051</c:v>
                </c:pt>
                <c:pt idx="219">
                  <c:v>65550.000000000044</c:v>
                </c:pt>
                <c:pt idx="220">
                  <c:v>65850.000000000044</c:v>
                </c:pt>
                <c:pt idx="221">
                  <c:v>66150.000000000044</c:v>
                </c:pt>
                <c:pt idx="222">
                  <c:v>66450.000000000044</c:v>
                </c:pt>
                <c:pt idx="223">
                  <c:v>66750.000000000058</c:v>
                </c:pt>
                <c:pt idx="224">
                  <c:v>67050.000000000058</c:v>
                </c:pt>
                <c:pt idx="225">
                  <c:v>67350.000000000058</c:v>
                </c:pt>
                <c:pt idx="226">
                  <c:v>67650.000000000058</c:v>
                </c:pt>
                <c:pt idx="227">
                  <c:v>67950.000000000058</c:v>
                </c:pt>
                <c:pt idx="228">
                  <c:v>68250.000000000058</c:v>
                </c:pt>
                <c:pt idx="229">
                  <c:v>68550.000000000058</c:v>
                </c:pt>
                <c:pt idx="230">
                  <c:v>68850.000000000058</c:v>
                </c:pt>
                <c:pt idx="231">
                  <c:v>69150.000000000058</c:v>
                </c:pt>
                <c:pt idx="232">
                  <c:v>69450.000000000058</c:v>
                </c:pt>
                <c:pt idx="233">
                  <c:v>69750.000000000058</c:v>
                </c:pt>
                <c:pt idx="234">
                  <c:v>70050.000000000058</c:v>
                </c:pt>
                <c:pt idx="235">
                  <c:v>70350.000000000058</c:v>
                </c:pt>
                <c:pt idx="236">
                  <c:v>70650.000000000058</c:v>
                </c:pt>
                <c:pt idx="237">
                  <c:v>70950.000000000058</c:v>
                </c:pt>
                <c:pt idx="238">
                  <c:v>71250.000000000058</c:v>
                </c:pt>
                <c:pt idx="239">
                  <c:v>71550.000000000058</c:v>
                </c:pt>
                <c:pt idx="240">
                  <c:v>71850.000000000058</c:v>
                </c:pt>
                <c:pt idx="241">
                  <c:v>72150.000000000058</c:v>
                </c:pt>
                <c:pt idx="242">
                  <c:v>72450.000000000058</c:v>
                </c:pt>
                <c:pt idx="243">
                  <c:v>72750.000000000058</c:v>
                </c:pt>
                <c:pt idx="244">
                  <c:v>73050.000000000058</c:v>
                </c:pt>
                <c:pt idx="245">
                  <c:v>73350.000000000058</c:v>
                </c:pt>
                <c:pt idx="246">
                  <c:v>73650.000000000058</c:v>
                </c:pt>
                <c:pt idx="247">
                  <c:v>73950.000000000058</c:v>
                </c:pt>
                <c:pt idx="248">
                  <c:v>74250.000000000058</c:v>
                </c:pt>
                <c:pt idx="249">
                  <c:v>74550.000000000058</c:v>
                </c:pt>
                <c:pt idx="250">
                  <c:v>74850.000000000058</c:v>
                </c:pt>
                <c:pt idx="251">
                  <c:v>75150.000000000044</c:v>
                </c:pt>
                <c:pt idx="252">
                  <c:v>75450.000000000044</c:v>
                </c:pt>
                <c:pt idx="253">
                  <c:v>75750.000000000044</c:v>
                </c:pt>
                <c:pt idx="254">
                  <c:v>76050.000000000044</c:v>
                </c:pt>
                <c:pt idx="255">
                  <c:v>76350.000000000058</c:v>
                </c:pt>
                <c:pt idx="256">
                  <c:v>76650.000000000058</c:v>
                </c:pt>
                <c:pt idx="257">
                  <c:v>76950.000000000058</c:v>
                </c:pt>
                <c:pt idx="258">
                  <c:v>77250.000000000058</c:v>
                </c:pt>
                <c:pt idx="259">
                  <c:v>77550.000000000058</c:v>
                </c:pt>
                <c:pt idx="260">
                  <c:v>77850.000000000058</c:v>
                </c:pt>
                <c:pt idx="261">
                  <c:v>78150.000000000058</c:v>
                </c:pt>
                <c:pt idx="262">
                  <c:v>78450.000000000058</c:v>
                </c:pt>
                <c:pt idx="263">
                  <c:v>78750.000000000058</c:v>
                </c:pt>
                <c:pt idx="264">
                  <c:v>79050.000000000058</c:v>
                </c:pt>
                <c:pt idx="265">
                  <c:v>79350.000000000058</c:v>
                </c:pt>
                <c:pt idx="266">
                  <c:v>79650.000000000058</c:v>
                </c:pt>
                <c:pt idx="267">
                  <c:v>79950.000000000058</c:v>
                </c:pt>
                <c:pt idx="268">
                  <c:v>80250.000000000058</c:v>
                </c:pt>
                <c:pt idx="269">
                  <c:v>80550.000000000058</c:v>
                </c:pt>
                <c:pt idx="270">
                  <c:v>80850.000000000058</c:v>
                </c:pt>
                <c:pt idx="271">
                  <c:v>81150.000000000058</c:v>
                </c:pt>
                <c:pt idx="272">
                  <c:v>81450.000000000058</c:v>
                </c:pt>
                <c:pt idx="273">
                  <c:v>81750.000000000058</c:v>
                </c:pt>
                <c:pt idx="274">
                  <c:v>82050.000000000058</c:v>
                </c:pt>
                <c:pt idx="275">
                  <c:v>82350.000000000058</c:v>
                </c:pt>
                <c:pt idx="276">
                  <c:v>82650.000000000058</c:v>
                </c:pt>
                <c:pt idx="277">
                  <c:v>82950.000000000058</c:v>
                </c:pt>
                <c:pt idx="278">
                  <c:v>83250.000000000058</c:v>
                </c:pt>
                <c:pt idx="279">
                  <c:v>83550.000000000058</c:v>
                </c:pt>
                <c:pt idx="280">
                  <c:v>83850.000000000058</c:v>
                </c:pt>
                <c:pt idx="281">
                  <c:v>84150.000000000058</c:v>
                </c:pt>
                <c:pt idx="282">
                  <c:v>84450.000000000058</c:v>
                </c:pt>
                <c:pt idx="283">
                  <c:v>84750.000000000058</c:v>
                </c:pt>
                <c:pt idx="284">
                  <c:v>85050.000000000058</c:v>
                </c:pt>
                <c:pt idx="285">
                  <c:v>85350.000000000058</c:v>
                </c:pt>
                <c:pt idx="286">
                  <c:v>85650.000000000058</c:v>
                </c:pt>
                <c:pt idx="287">
                  <c:v>85950.000000000058</c:v>
                </c:pt>
                <c:pt idx="288">
                  <c:v>86250.000000000058</c:v>
                </c:pt>
                <c:pt idx="289">
                  <c:v>86550.000000000058</c:v>
                </c:pt>
                <c:pt idx="290">
                  <c:v>86850.000000000058</c:v>
                </c:pt>
                <c:pt idx="291">
                  <c:v>87150.000000000058</c:v>
                </c:pt>
                <c:pt idx="292">
                  <c:v>87450.000000000058</c:v>
                </c:pt>
                <c:pt idx="293">
                  <c:v>87750.000000000058</c:v>
                </c:pt>
                <c:pt idx="294">
                  <c:v>88050.000000000058</c:v>
                </c:pt>
                <c:pt idx="295">
                  <c:v>88350.000000000058</c:v>
                </c:pt>
                <c:pt idx="296">
                  <c:v>88650.000000000058</c:v>
                </c:pt>
                <c:pt idx="297">
                  <c:v>88950.000000000058</c:v>
                </c:pt>
                <c:pt idx="298">
                  <c:v>89250.000000000058</c:v>
                </c:pt>
                <c:pt idx="299">
                  <c:v>89550.000000000058</c:v>
                </c:pt>
                <c:pt idx="300">
                  <c:v>89850.000000000058</c:v>
                </c:pt>
                <c:pt idx="301">
                  <c:v>90150.000000000058</c:v>
                </c:pt>
                <c:pt idx="302">
                  <c:v>90450.000000000058</c:v>
                </c:pt>
                <c:pt idx="303">
                  <c:v>90750.000000000058</c:v>
                </c:pt>
                <c:pt idx="304">
                  <c:v>91050.000000000058</c:v>
                </c:pt>
                <c:pt idx="305">
                  <c:v>91350.000000000058</c:v>
                </c:pt>
                <c:pt idx="306">
                  <c:v>91650.000000000058</c:v>
                </c:pt>
                <c:pt idx="307">
                  <c:v>91950.000000000058</c:v>
                </c:pt>
                <c:pt idx="308">
                  <c:v>92250.000000000058</c:v>
                </c:pt>
                <c:pt idx="309">
                  <c:v>92550.000000000073</c:v>
                </c:pt>
                <c:pt idx="310">
                  <c:v>92850.000000000073</c:v>
                </c:pt>
                <c:pt idx="311">
                  <c:v>93150.000000000073</c:v>
                </c:pt>
                <c:pt idx="312">
                  <c:v>93450.000000000073</c:v>
                </c:pt>
                <c:pt idx="313">
                  <c:v>93750.000000000073</c:v>
                </c:pt>
                <c:pt idx="314">
                  <c:v>94050.000000000073</c:v>
                </c:pt>
                <c:pt idx="315">
                  <c:v>94350.000000000073</c:v>
                </c:pt>
                <c:pt idx="316">
                  <c:v>94650.000000000073</c:v>
                </c:pt>
                <c:pt idx="317">
                  <c:v>94950.000000000073</c:v>
                </c:pt>
                <c:pt idx="318">
                  <c:v>95250.000000000073</c:v>
                </c:pt>
                <c:pt idx="319">
                  <c:v>95550.000000000073</c:v>
                </c:pt>
                <c:pt idx="320">
                  <c:v>95850.000000000073</c:v>
                </c:pt>
                <c:pt idx="321">
                  <c:v>96150.000000000073</c:v>
                </c:pt>
                <c:pt idx="322">
                  <c:v>96450.000000000073</c:v>
                </c:pt>
                <c:pt idx="323">
                  <c:v>96750.000000000073</c:v>
                </c:pt>
                <c:pt idx="324">
                  <c:v>97050.000000000073</c:v>
                </c:pt>
                <c:pt idx="325">
                  <c:v>97350.000000000073</c:v>
                </c:pt>
                <c:pt idx="326">
                  <c:v>97650.000000000073</c:v>
                </c:pt>
                <c:pt idx="327">
                  <c:v>97950.000000000073</c:v>
                </c:pt>
                <c:pt idx="328">
                  <c:v>98250.000000000073</c:v>
                </c:pt>
                <c:pt idx="329">
                  <c:v>98550.000000000073</c:v>
                </c:pt>
                <c:pt idx="330">
                  <c:v>98850.000000000073</c:v>
                </c:pt>
                <c:pt idx="331">
                  <c:v>99150.000000000073</c:v>
                </c:pt>
                <c:pt idx="332">
                  <c:v>99450.000000000073</c:v>
                </c:pt>
                <c:pt idx="333">
                  <c:v>99750.000000000073</c:v>
                </c:pt>
                <c:pt idx="334">
                  <c:v>100050.00000000007</c:v>
                </c:pt>
                <c:pt idx="335">
                  <c:v>100350.00000000007</c:v>
                </c:pt>
                <c:pt idx="336">
                  <c:v>100650.00000000007</c:v>
                </c:pt>
                <c:pt idx="337">
                  <c:v>100950.00000000007</c:v>
                </c:pt>
                <c:pt idx="338">
                  <c:v>101250.00000000007</c:v>
                </c:pt>
                <c:pt idx="339">
                  <c:v>101550.00000000007</c:v>
                </c:pt>
                <c:pt idx="340">
                  <c:v>101850.00000000007</c:v>
                </c:pt>
                <c:pt idx="341">
                  <c:v>102150.00000000007</c:v>
                </c:pt>
                <c:pt idx="342">
                  <c:v>102450.00000000007</c:v>
                </c:pt>
                <c:pt idx="343">
                  <c:v>102750.00000000007</c:v>
                </c:pt>
                <c:pt idx="344">
                  <c:v>103050.00000000007</c:v>
                </c:pt>
                <c:pt idx="345">
                  <c:v>103350.00000000007</c:v>
                </c:pt>
                <c:pt idx="346">
                  <c:v>103650.00000000007</c:v>
                </c:pt>
                <c:pt idx="347">
                  <c:v>103950.00000000007</c:v>
                </c:pt>
                <c:pt idx="348">
                  <c:v>104250.00000000007</c:v>
                </c:pt>
                <c:pt idx="349">
                  <c:v>104550.00000000007</c:v>
                </c:pt>
                <c:pt idx="350">
                  <c:v>104850.00000000007</c:v>
                </c:pt>
                <c:pt idx="351">
                  <c:v>105150.00000000007</c:v>
                </c:pt>
                <c:pt idx="352">
                  <c:v>105450.00000000007</c:v>
                </c:pt>
                <c:pt idx="353">
                  <c:v>105750.00000000007</c:v>
                </c:pt>
                <c:pt idx="354">
                  <c:v>106050.00000000007</c:v>
                </c:pt>
                <c:pt idx="355">
                  <c:v>106350.00000000007</c:v>
                </c:pt>
                <c:pt idx="356">
                  <c:v>106650.00000000007</c:v>
                </c:pt>
                <c:pt idx="357">
                  <c:v>106950.00000000007</c:v>
                </c:pt>
                <c:pt idx="358">
                  <c:v>107250.00000000007</c:v>
                </c:pt>
                <c:pt idx="359">
                  <c:v>107550.00000000007</c:v>
                </c:pt>
                <c:pt idx="360">
                  <c:v>107850.00000000007</c:v>
                </c:pt>
                <c:pt idx="361">
                  <c:v>108150.00000000007</c:v>
                </c:pt>
                <c:pt idx="362">
                  <c:v>108450.00000000007</c:v>
                </c:pt>
                <c:pt idx="363">
                  <c:v>108750.00000000007</c:v>
                </c:pt>
                <c:pt idx="364">
                  <c:v>109050.00000000009</c:v>
                </c:pt>
                <c:pt idx="365">
                  <c:v>109350.00000000009</c:v>
                </c:pt>
                <c:pt idx="366">
                  <c:v>109650.00000000009</c:v>
                </c:pt>
                <c:pt idx="367">
                  <c:v>109950.00000000009</c:v>
                </c:pt>
                <c:pt idx="368">
                  <c:v>110250.00000000009</c:v>
                </c:pt>
                <c:pt idx="369">
                  <c:v>110550.00000000009</c:v>
                </c:pt>
                <c:pt idx="370">
                  <c:v>110850.00000000009</c:v>
                </c:pt>
                <c:pt idx="371">
                  <c:v>111150.00000000009</c:v>
                </c:pt>
                <c:pt idx="372">
                  <c:v>111450.00000000009</c:v>
                </c:pt>
                <c:pt idx="373">
                  <c:v>111750.00000000009</c:v>
                </c:pt>
                <c:pt idx="374">
                  <c:v>112050.00000000009</c:v>
                </c:pt>
                <c:pt idx="375">
                  <c:v>112350.00000000009</c:v>
                </c:pt>
                <c:pt idx="376">
                  <c:v>112650.00000000009</c:v>
                </c:pt>
                <c:pt idx="377">
                  <c:v>112950.00000000009</c:v>
                </c:pt>
                <c:pt idx="378">
                  <c:v>113250.00000000009</c:v>
                </c:pt>
                <c:pt idx="379">
                  <c:v>113550.00000000009</c:v>
                </c:pt>
                <c:pt idx="380">
                  <c:v>113850.00000000009</c:v>
                </c:pt>
                <c:pt idx="381">
                  <c:v>114150.00000000009</c:v>
                </c:pt>
                <c:pt idx="382">
                  <c:v>114450.00000000009</c:v>
                </c:pt>
                <c:pt idx="383">
                  <c:v>114750.00000000009</c:v>
                </c:pt>
                <c:pt idx="384">
                  <c:v>115050.00000000009</c:v>
                </c:pt>
                <c:pt idx="385">
                  <c:v>115350.00000000009</c:v>
                </c:pt>
                <c:pt idx="386">
                  <c:v>115650.00000000009</c:v>
                </c:pt>
                <c:pt idx="387">
                  <c:v>115950.00000000009</c:v>
                </c:pt>
                <c:pt idx="388">
                  <c:v>116250.00000000009</c:v>
                </c:pt>
                <c:pt idx="389">
                  <c:v>116550.00000000009</c:v>
                </c:pt>
                <c:pt idx="390">
                  <c:v>116850.00000000009</c:v>
                </c:pt>
                <c:pt idx="391">
                  <c:v>117150.00000000009</c:v>
                </c:pt>
                <c:pt idx="392">
                  <c:v>117450.00000000009</c:v>
                </c:pt>
                <c:pt idx="393">
                  <c:v>117750.00000000009</c:v>
                </c:pt>
                <c:pt idx="394">
                  <c:v>118050.00000000009</c:v>
                </c:pt>
                <c:pt idx="395">
                  <c:v>118350.00000000009</c:v>
                </c:pt>
                <c:pt idx="396">
                  <c:v>118650.00000000009</c:v>
                </c:pt>
                <c:pt idx="397">
                  <c:v>118950.00000000009</c:v>
                </c:pt>
                <c:pt idx="398">
                  <c:v>119250.00000000009</c:v>
                </c:pt>
                <c:pt idx="399">
                  <c:v>119550.00000000009</c:v>
                </c:pt>
                <c:pt idx="400">
                  <c:v>119850.00000000009</c:v>
                </c:pt>
                <c:pt idx="401">
                  <c:v>120150.00000000009</c:v>
                </c:pt>
                <c:pt idx="402">
                  <c:v>120450.00000000009</c:v>
                </c:pt>
                <c:pt idx="403">
                  <c:v>120750.00000000009</c:v>
                </c:pt>
                <c:pt idx="404">
                  <c:v>121050.00000000009</c:v>
                </c:pt>
                <c:pt idx="405">
                  <c:v>121350.00000000009</c:v>
                </c:pt>
                <c:pt idx="406">
                  <c:v>121650.00000000009</c:v>
                </c:pt>
                <c:pt idx="407">
                  <c:v>121950.00000000009</c:v>
                </c:pt>
                <c:pt idx="408">
                  <c:v>122250.00000000009</c:v>
                </c:pt>
                <c:pt idx="409">
                  <c:v>122550.00000000009</c:v>
                </c:pt>
                <c:pt idx="410">
                  <c:v>122850.00000000009</c:v>
                </c:pt>
                <c:pt idx="411">
                  <c:v>123150.00000000009</c:v>
                </c:pt>
                <c:pt idx="412">
                  <c:v>123450.00000000009</c:v>
                </c:pt>
                <c:pt idx="413">
                  <c:v>123750.00000000009</c:v>
                </c:pt>
                <c:pt idx="414">
                  <c:v>124050.00000000009</c:v>
                </c:pt>
                <c:pt idx="415">
                  <c:v>124350.00000000009</c:v>
                </c:pt>
                <c:pt idx="416">
                  <c:v>124650.00000000009</c:v>
                </c:pt>
                <c:pt idx="417">
                  <c:v>124950.00000000009</c:v>
                </c:pt>
                <c:pt idx="418">
                  <c:v>125250.00000000009</c:v>
                </c:pt>
                <c:pt idx="419">
                  <c:v>125550.0000000001</c:v>
                </c:pt>
                <c:pt idx="420">
                  <c:v>125850.0000000001</c:v>
                </c:pt>
                <c:pt idx="421">
                  <c:v>126150.0000000001</c:v>
                </c:pt>
              </c:numCache>
            </c:numRef>
          </c:xVal>
          <c:yVal>
            <c:numRef>
              <c:f>'Credit Portfolio'!$O$6:$O$427</c:f>
              <c:numCache>
                <c:formatCode>0.00000</c:formatCode>
                <c:ptCount val="4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 formatCode="0.000000">
                  <c:v>0</c:v>
                </c:pt>
                <c:pt idx="60" formatCode="0.000000">
                  <c:v>0</c:v>
                </c:pt>
                <c:pt idx="61" formatCode="0.000000">
                  <c:v>0</c:v>
                </c:pt>
                <c:pt idx="62" formatCode="0.000000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 formatCode="0.0000000">
                  <c:v>0</c:v>
                </c:pt>
                <c:pt idx="75" formatCode="0.00000000">
                  <c:v>0</c:v>
                </c:pt>
                <c:pt idx="76" formatCode="0.00000000">
                  <c:v>0</c:v>
                </c:pt>
                <c:pt idx="77" formatCode="0.00000000">
                  <c:v>0</c:v>
                </c:pt>
                <c:pt idx="78" formatCode="0.00000000">
                  <c:v>0</c:v>
                </c:pt>
                <c:pt idx="79" formatCode="0.00000000">
                  <c:v>0</c:v>
                </c:pt>
                <c:pt idx="80" formatCode="0.00000000">
                  <c:v>0</c:v>
                </c:pt>
                <c:pt idx="81" formatCode="0.00000000">
                  <c:v>0</c:v>
                </c:pt>
                <c:pt idx="82" formatCode="0.00000000">
                  <c:v>0</c:v>
                </c:pt>
                <c:pt idx="83" formatCode="0.00000000">
                  <c:v>0</c:v>
                </c:pt>
                <c:pt idx="84" formatCode="0.00000000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74-4D3E-B0DD-19B312461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078072"/>
        <c:axId val="767265800"/>
      </c:scatterChart>
      <c:valAx>
        <c:axId val="709078072"/>
        <c:scaling>
          <c:orientation val="minMax"/>
          <c:max val="1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265800"/>
        <c:crossesAt val="1.0000000000000006E-10"/>
        <c:crossBetween val="midCat"/>
      </c:valAx>
      <c:valAx>
        <c:axId val="767265800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078072"/>
        <c:crosses val="autoZero"/>
        <c:crossBetween val="midCat"/>
      </c:valAx>
      <c:spPr>
        <a:noFill/>
        <a:ln w="6350"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t"/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'Conditional PD distribution'!$C$8</c:f>
              <c:strCache>
                <c:ptCount val="1"/>
                <c:pt idx="0">
                  <c:v>actual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'Conditional PD distribution'!$B$9:$B$109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'Conditional PD distribution'!$C$9:$C$109</c:f>
              <c:numCache>
                <c:formatCode>General</c:formatCode>
                <c:ptCount val="101"/>
                <c:pt idx="0">
                  <c:v>6.107310143500401E-21</c:v>
                </c:pt>
                <c:pt idx="1">
                  <c:v>3.6199711569760886E-19</c:v>
                </c:pt>
                <c:pt idx="2">
                  <c:v>1.0621000866782485E-17</c:v>
                </c:pt>
                <c:pt idx="3">
                  <c:v>2.0564843100444065E-16</c:v>
                </c:pt>
                <c:pt idx="4">
                  <c:v>2.9559172945414977E-15</c:v>
                </c:pt>
                <c:pt idx="5">
                  <c:v>3.3639431086149509E-14</c:v>
                </c:pt>
                <c:pt idx="6">
                  <c:v>3.1570112711189247E-13</c:v>
                </c:pt>
                <c:pt idx="7">
                  <c:v>2.5128182706259558E-12</c:v>
                </c:pt>
                <c:pt idx="8">
                  <c:v>1.7314469028202769E-11</c:v>
                </c:pt>
                <c:pt idx="9">
                  <c:v>1.0490824719724775E-10</c:v>
                </c:pt>
                <c:pt idx="10">
                  <c:v>5.6585630376455047E-10</c:v>
                </c:pt>
                <c:pt idx="11">
                  <c:v>2.7441706673743636E-9</c:v>
                </c:pt>
                <c:pt idx="12">
                  <c:v>1.2063546805319525E-8</c:v>
                </c:pt>
                <c:pt idx="13">
                  <c:v>4.8402686672960086E-8</c:v>
                </c:pt>
                <c:pt idx="14">
                  <c:v>1.7828541679278971E-7</c:v>
                </c:pt>
                <c:pt idx="15">
                  <c:v>6.0586818544563535E-7</c:v>
                </c:pt>
                <c:pt idx="16">
                  <c:v>1.907797284118425E-6</c:v>
                </c:pt>
                <c:pt idx="17">
                  <c:v>5.5875024431763285E-6</c:v>
                </c:pt>
                <c:pt idx="18">
                  <c:v>1.5271385786613186E-5</c:v>
                </c:pt>
                <c:pt idx="19">
                  <c:v>3.9065540282264118E-5</c:v>
                </c:pt>
                <c:pt idx="20">
                  <c:v>9.3778653647732575E-5</c:v>
                </c:pt>
                <c:pt idx="21">
                  <c:v>2.1175312137241019E-4</c:v>
                </c:pt>
                <c:pt idx="22">
                  <c:v>4.5070187668387872E-4</c:v>
                </c:pt>
                <c:pt idx="23">
                  <c:v>9.0596468352732197E-4</c:v>
                </c:pt>
                <c:pt idx="24">
                  <c:v>1.7228437307390404E-3</c:v>
                </c:pt>
                <c:pt idx="25">
                  <c:v>3.1043780615046162E-3</c:v>
                </c:pt>
                <c:pt idx="26">
                  <c:v>5.3078379617786248E-3</c:v>
                </c:pt>
                <c:pt idx="27">
                  <c:v>8.6226497780377519E-3</c:v>
                </c:pt>
                <c:pt idx="28">
                  <c:v>1.332480035905809E-2</c:v>
                </c:pt>
                <c:pt idx="29">
                  <c:v>1.960876964004658E-2</c:v>
                </c:pt>
                <c:pt idx="30">
                  <c:v>2.7506958593095571E-2</c:v>
                </c:pt>
                <c:pt idx="31">
                  <c:v>3.681578414594984E-2</c:v>
                </c:pt>
                <c:pt idx="32">
                  <c:v>4.7053106637207395E-2</c:v>
                </c:pt>
                <c:pt idx="33">
                  <c:v>5.7469631257102735E-2</c:v>
                </c:pt>
                <c:pt idx="34">
                  <c:v>6.7125793316569815E-2</c:v>
                </c:pt>
                <c:pt idx="35">
                  <c:v>7.5027496927224768E-2</c:v>
                </c:pt>
                <c:pt idx="36">
                  <c:v>8.029462030328359E-2</c:v>
                </c:pt>
                <c:pt idx="37">
                  <c:v>8.2322743209026758E-2</c:v>
                </c:pt>
                <c:pt idx="38">
                  <c:v>8.0896907862514703E-2</c:v>
                </c:pt>
                <c:pt idx="39">
                  <c:v>7.6227932272092305E-2</c:v>
                </c:pt>
                <c:pt idx="40">
                  <c:v>6.8903156592385689E-2</c:v>
                </c:pt>
                <c:pt idx="41">
                  <c:v>5.9767026158705515E-2</c:v>
                </c:pt>
                <c:pt idx="42">
                  <c:v>4.9764483791518994E-2</c:v>
                </c:pt>
                <c:pt idx="43">
                  <c:v>3.9786357129062734E-2</c:v>
                </c:pt>
                <c:pt idx="44">
                  <c:v>3.0550019441169699E-2</c:v>
                </c:pt>
                <c:pt idx="45">
                  <c:v>2.2534199730131023E-2</c:v>
                </c:pt>
                <c:pt idx="46">
                  <c:v>1.5969897632139435E-2</c:v>
                </c:pt>
                <c:pt idx="47">
                  <c:v>1.0875598580007946E-2</c:v>
                </c:pt>
                <c:pt idx="48">
                  <c:v>7.1177533876758429E-3</c:v>
                </c:pt>
                <c:pt idx="49">
                  <c:v>4.4771880453565813E-3</c:v>
                </c:pt>
                <c:pt idx="50">
                  <c:v>2.7068278885285157E-3</c:v>
                </c:pt>
                <c:pt idx="51">
                  <c:v>1.5729524919266583E-3</c:v>
                </c:pt>
                <c:pt idx="52">
                  <c:v>8.7854391954895388E-4</c:v>
                </c:pt>
                <c:pt idx="53">
                  <c:v>4.7161105873200226E-4</c:v>
                </c:pt>
                <c:pt idx="54">
                  <c:v>2.4330061880591548E-4</c:v>
                </c:pt>
                <c:pt idx="55">
                  <c:v>1.2061282533240167E-4</c:v>
                </c:pt>
                <c:pt idx="56">
                  <c:v>5.7447761772541762E-5</c:v>
                </c:pt>
                <c:pt idx="57">
                  <c:v>2.6284884241760783E-5</c:v>
                </c:pt>
                <c:pt idx="58">
                  <c:v>1.155052344313001E-5</c:v>
                </c:pt>
                <c:pt idx="59">
                  <c:v>4.8736471113725036E-6</c:v>
                </c:pt>
                <c:pt idx="60">
                  <c:v>1.9739757871425247E-6</c:v>
                </c:pt>
                <c:pt idx="61">
                  <c:v>7.672327146069365E-7</c:v>
                </c:pt>
                <c:pt idx="62">
                  <c:v>2.8605870315848941E-7</c:v>
                </c:pt>
                <c:pt idx="63">
                  <c:v>1.0227119905353059E-7</c:v>
                </c:pt>
                <c:pt idx="64">
                  <c:v>3.5045336388839317E-8</c:v>
                </c:pt>
                <c:pt idx="65">
                  <c:v>1.1504679176009436E-8</c:v>
                </c:pt>
                <c:pt idx="66">
                  <c:v>3.6162109443074888E-9</c:v>
                </c:pt>
                <c:pt idx="67">
                  <c:v>1.0877097105432299E-9</c:v>
                </c:pt>
                <c:pt idx="68">
                  <c:v>3.128766608828761E-10</c:v>
                </c:pt>
                <c:pt idx="69">
                  <c:v>8.600608732906698E-11</c:v>
                </c:pt>
                <c:pt idx="70">
                  <c:v>2.2576051117071608E-11</c:v>
                </c:pt>
                <c:pt idx="71">
                  <c:v>5.6541330115098256E-12</c:v>
                </c:pt>
                <c:pt idx="72">
                  <c:v>1.3498535639510065E-12</c:v>
                </c:pt>
                <c:pt idx="73">
                  <c:v>3.0688592038074986E-13</c:v>
                </c:pt>
                <c:pt idx="74">
                  <c:v>6.6368827223878777E-14</c:v>
                </c:pt>
                <c:pt idx="75">
                  <c:v>1.3637393222917356E-14</c:v>
                </c:pt>
                <c:pt idx="76">
                  <c:v>2.6589668000180366E-15</c:v>
                </c:pt>
                <c:pt idx="77">
                  <c:v>4.9123416767781461E-16</c:v>
                </c:pt>
                <c:pt idx="78">
                  <c:v>8.5857242282123392E-17</c:v>
                </c:pt>
                <c:pt idx="79">
                  <c:v>1.4171886307635481E-17</c:v>
                </c:pt>
                <c:pt idx="80">
                  <c:v>2.2050178143724639E-18</c:v>
                </c:pt>
                <c:pt idx="81">
                  <c:v>3.2270984475961599E-19</c:v>
                </c:pt>
                <c:pt idx="82">
                  <c:v>4.4320749713358467E-20</c:v>
                </c:pt>
                <c:pt idx="83">
                  <c:v>5.6971367755691385E-21</c:v>
                </c:pt>
                <c:pt idx="84">
                  <c:v>6.8341013716815642E-22</c:v>
                </c:pt>
                <c:pt idx="85">
                  <c:v>7.6249606819067739E-23</c:v>
                </c:pt>
                <c:pt idx="86">
                  <c:v>7.8828915466149544E-24</c:v>
                </c:pt>
                <c:pt idx="87">
                  <c:v>7.5188162221641517E-25</c:v>
                </c:pt>
                <c:pt idx="88">
                  <c:v>6.5836280221248327E-26</c:v>
                </c:pt>
                <c:pt idx="89">
                  <c:v>5.26152525858624E-27</c:v>
                </c:pt>
                <c:pt idx="90">
                  <c:v>3.8116847139432355E-28</c:v>
                </c:pt>
                <c:pt idx="91">
                  <c:v>2.4827369816386537E-29</c:v>
                </c:pt>
                <c:pt idx="92">
                  <c:v>1.4395956661921941E-30</c:v>
                </c:pt>
                <c:pt idx="93">
                  <c:v>7.3401122950107816E-32</c:v>
                </c:pt>
                <c:pt idx="94">
                  <c:v>3.2398732918499471E-33</c:v>
                </c:pt>
                <c:pt idx="95">
                  <c:v>1.2128603705031518E-34</c:v>
                </c:pt>
                <c:pt idx="96">
                  <c:v>3.7442489133060454E-36</c:v>
                </c:pt>
                <c:pt idx="97">
                  <c:v>9.1518333790764341E-38</c:v>
                </c:pt>
                <c:pt idx="98">
                  <c:v>1.660574707443278E-39</c:v>
                </c:pt>
                <c:pt idx="99">
                  <c:v>1.988421063589382E-41</c:v>
                </c:pt>
                <c:pt idx="100">
                  <c:v>1.1785920035152688E-43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DA-4E92-B2C8-D4B003FBED92}"/>
            </c:ext>
          </c:extLst>
        </c:ser>
        <c:ser>
          <c:idx val="1"/>
          <c:order val="1"/>
          <c:tx>
            <c:strRef>
              <c:f>'Conditional PD distribution'!$D$8</c:f>
              <c:strCache>
                <c:ptCount val="1"/>
                <c:pt idx="0">
                  <c:v>normal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'Conditional PD distribution'!$B$9:$B$109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'Conditional PD distribution'!$D$9:$D$109</c:f>
              <c:numCache>
                <c:formatCode>General</c:formatCode>
                <c:ptCount val="101"/>
                <c:pt idx="0">
                  <c:v>1.1109848888200313E-14</c:v>
                </c:pt>
                <c:pt idx="1">
                  <c:v>5.3472118312268799E-14</c:v>
                </c:pt>
                <c:pt idx="2">
                  <c:v>2.4658093965307751E-13</c:v>
                </c:pt>
                <c:pt idx="3">
                  <c:v>1.0894429533594056E-12</c:v>
                </c:pt>
                <c:pt idx="4">
                  <c:v>4.6117139540811304E-12</c:v>
                </c:pt>
                <c:pt idx="5">
                  <c:v>1.870394025356887E-11</c:v>
                </c:pt>
                <c:pt idx="6">
                  <c:v>7.2680302799914201E-11</c:v>
                </c:pt>
                <c:pt idx="7">
                  <c:v>2.7059092438832887E-10</c:v>
                </c:pt>
                <c:pt idx="8">
                  <c:v>9.6521175279811002E-10</c:v>
                </c:pt>
                <c:pt idx="9">
                  <c:v>3.298715441086459E-9</c:v>
                </c:pt>
                <c:pt idx="10">
                  <c:v>1.0801398331411466E-8</c:v>
                </c:pt>
                <c:pt idx="11">
                  <c:v>3.3886599343493372E-8</c:v>
                </c:pt>
                <c:pt idx="12">
                  <c:v>1.0185652848879281E-7</c:v>
                </c:pt>
                <c:pt idx="13">
                  <c:v>2.9333415208605439E-7</c:v>
                </c:pt>
                <c:pt idx="14">
                  <c:v>8.0937403096121379E-7</c:v>
                </c:pt>
                <c:pt idx="15">
                  <c:v>2.1396797612094206E-6</c:v>
                </c:pt>
                <c:pt idx="16">
                  <c:v>5.4195243090026575E-6</c:v>
                </c:pt>
                <c:pt idx="17">
                  <c:v>1.3151837533020627E-5</c:v>
                </c:pt>
                <c:pt idx="18">
                  <c:v>3.0579091526936624E-5</c:v>
                </c:pt>
                <c:pt idx="19">
                  <c:v>6.8120150561787842E-5</c:v>
                </c:pt>
                <c:pt idx="20">
                  <c:v>1.4539166042654589E-4</c:v>
                </c:pt>
                <c:pt idx="21">
                  <c:v>2.9731462335893806E-4</c:v>
                </c:pt>
                <c:pt idx="22">
                  <c:v>5.8251340143322531E-4</c:v>
                </c:pt>
                <c:pt idx="23">
                  <c:v>1.0934739695607348E-3</c:v>
                </c:pt>
                <c:pt idx="24">
                  <c:v>1.9666354055720521E-3</c:v>
                </c:pt>
                <c:pt idx="25">
                  <c:v>3.3888483517502976E-3</c:v>
                </c:pt>
                <c:pt idx="26">
                  <c:v>5.5949124262485109E-3</c:v>
                </c:pt>
                <c:pt idx="27">
                  <c:v>8.8500826844636581E-3</c:v>
                </c:pt>
                <c:pt idx="28">
                  <c:v>1.3412639135846428E-2</c:v>
                </c:pt>
                <c:pt idx="29">
                  <c:v>1.9475742725889131E-2</c:v>
                </c:pt>
                <c:pt idx="30">
                  <c:v>2.7094846470222939E-2</c:v>
                </c:pt>
                <c:pt idx="31">
                  <c:v>3.6115384000426617E-2</c:v>
                </c:pt>
                <c:pt idx="32">
                  <c:v>4.6122268124565755E-2</c:v>
                </c:pt>
                <c:pt idx="33">
                  <c:v>5.6434145334001935E-2</c:v>
                </c:pt>
                <c:pt idx="34">
                  <c:v>6.6158572394699064E-2</c:v>
                </c:pt>
                <c:pt idx="35">
                  <c:v>7.4309300813022353E-2</c:v>
                </c:pt>
                <c:pt idx="36">
                  <c:v>7.9967423141953514E-2</c:v>
                </c:pt>
                <c:pt idx="37">
                  <c:v>8.2450995774811284E-2</c:v>
                </c:pt>
                <c:pt idx="38">
                  <c:v>8.1450093156384448E-2</c:v>
                </c:pt>
                <c:pt idx="39">
                  <c:v>7.7090372199973875E-2</c:v>
                </c:pt>
                <c:pt idx="40">
                  <c:v>6.9907146692481575E-2</c:v>
                </c:pt>
                <c:pt idx="41">
                  <c:v>6.0737356679910308E-2</c:v>
                </c:pt>
                <c:pt idx="42">
                  <c:v>5.0559535451790552E-2</c:v>
                </c:pt>
                <c:pt idx="43">
                  <c:v>4.0323956672194475E-2</c:v>
                </c:pt>
                <c:pt idx="44">
                  <c:v>3.0813148768488483E-2</c:v>
                </c:pt>
                <c:pt idx="45">
                  <c:v>2.2559106728643707E-2</c:v>
                </c:pt>
                <c:pt idx="46">
                  <c:v>1.5824157393062192E-2</c:v>
                </c:pt>
                <c:pt idx="47">
                  <c:v>1.0634869517520257E-2</c:v>
                </c:pt>
                <c:pt idx="48">
                  <c:v>6.8478874607596401E-3</c:v>
                </c:pt>
                <c:pt idx="49">
                  <c:v>4.2246811795797218E-3</c:v>
                </c:pt>
                <c:pt idx="50">
                  <c:v>2.4971471929616284E-3</c:v>
                </c:pt>
                <c:pt idx="51">
                  <c:v>1.4141882403497618E-3</c:v>
                </c:pt>
                <c:pt idx="52">
                  <c:v>7.6733176618262451E-4</c:v>
                </c:pt>
                <c:pt idx="53">
                  <c:v>3.989073243518744E-4</c:v>
                </c:pt>
                <c:pt idx="54">
                  <c:v>1.9868895252443954E-4</c:v>
                </c:pt>
                <c:pt idx="55">
                  <c:v>9.4817457737508335E-5</c:v>
                </c:pt>
                <c:pt idx="56">
                  <c:v>4.3352662037512492E-5</c:v>
                </c:pt>
                <c:pt idx="57">
                  <c:v>1.8991361926610245E-5</c:v>
                </c:pt>
                <c:pt idx="58">
                  <c:v>7.9709360981684237E-6</c:v>
                </c:pt>
                <c:pt idx="59">
                  <c:v>3.2053497288598697E-6</c:v>
                </c:pt>
                <c:pt idx="60">
                  <c:v>1.2349642682138868E-6</c:v>
                </c:pt>
                <c:pt idx="61">
                  <c:v>4.5587548643463734E-7</c:v>
                </c:pt>
                <c:pt idx="62">
                  <c:v>1.6123189714261112E-7</c:v>
                </c:pt>
                <c:pt idx="63">
                  <c:v>5.4634700343380999E-8</c:v>
                </c:pt>
                <c:pt idx="64">
                  <c:v>1.7737770992478681E-8</c:v>
                </c:pt>
                <c:pt idx="65">
                  <c:v>5.5175007197738012E-9</c:v>
                </c:pt>
                <c:pt idx="66">
                  <c:v>1.644366537028982E-9</c:v>
                </c:pt>
                <c:pt idx="67">
                  <c:v>4.6953474915976565E-10</c:v>
                </c:pt>
                <c:pt idx="68">
                  <c:v>1.2845461871187861E-10</c:v>
                </c:pt>
                <c:pt idx="69">
                  <c:v>3.3670113988390287E-11</c:v>
                </c:pt>
                <c:pt idx="70">
                  <c:v>8.4557537292474863E-12</c:v>
                </c:pt>
                <c:pt idx="71">
                  <c:v>2.0345714303388033E-12</c:v>
                </c:pt>
                <c:pt idx="72">
                  <c:v>4.6903627771558433E-13</c:v>
                </c:pt>
                <c:pt idx="73">
                  <c:v>1.0359834183605846E-13</c:v>
                </c:pt>
                <c:pt idx="74">
                  <c:v>2.1923609141333336E-14</c:v>
                </c:pt>
                <c:pt idx="75">
                  <c:v>4.4451270058539509E-15</c:v>
                </c:pt>
                <c:pt idx="76">
                  <c:v>8.6351358482262714E-16</c:v>
                </c:pt>
                <c:pt idx="77">
                  <c:v>1.6071893699806158E-16</c:v>
                </c:pt>
                <c:pt idx="78">
                  <c:v>2.8660106848044838E-17</c:v>
                </c:pt>
                <c:pt idx="79">
                  <c:v>4.8966767553739166E-18</c:v>
                </c:pt>
                <c:pt idx="80">
                  <c:v>8.0156351928930431E-19</c:v>
                </c:pt>
                <c:pt idx="81">
                  <c:v>1.2571506601326072E-19</c:v>
                </c:pt>
                <c:pt idx="82">
                  <c:v>1.889076689272027E-20</c:v>
                </c:pt>
                <c:pt idx="83">
                  <c:v>2.7197233320450142E-21</c:v>
                </c:pt>
                <c:pt idx="84">
                  <c:v>3.7515673014750526E-22</c:v>
                </c:pt>
                <c:pt idx="85">
                  <c:v>4.9580811837191362E-23</c:v>
                </c:pt>
                <c:pt idx="86">
                  <c:v>6.2780880475254865E-24</c:v>
                </c:pt>
                <c:pt idx="87">
                  <c:v>7.6164754681717112E-25</c:v>
                </c:pt>
                <c:pt idx="88">
                  <c:v>8.8530633078901724E-26</c:v>
                </c:pt>
                <c:pt idx="89">
                  <c:v>9.8592974427402184E-27</c:v>
                </c:pt>
                <c:pt idx="90">
                  <c:v>1.0519891118282152E-27</c:v>
                </c:pt>
                <c:pt idx="91">
                  <c:v>1.0754479538667954E-28</c:v>
                </c:pt>
                <c:pt idx="92">
                  <c:v>1.0533687429700185E-29</c:v>
                </c:pt>
                <c:pt idx="93">
                  <c:v>9.8851743514153435E-31</c:v>
                </c:pt>
                <c:pt idx="94">
                  <c:v>8.8879400571980718E-32</c:v>
                </c:pt>
                <c:pt idx="95">
                  <c:v>7.6565086420435579E-33</c:v>
                </c:pt>
                <c:pt idx="96">
                  <c:v>6.319363159612527E-34</c:v>
                </c:pt>
                <c:pt idx="97">
                  <c:v>4.9972229727547529E-35</c:v>
                </c:pt>
                <c:pt idx="98">
                  <c:v>3.7861430479430937E-36</c:v>
                </c:pt>
                <c:pt idx="99">
                  <c:v>2.7483889002364467E-37</c:v>
                </c:pt>
                <c:pt idx="100">
                  <c:v>1.911490879760162E-38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DA-4E92-B2C8-D4B003FBE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284720"/>
        <c:axId val="655285048"/>
      </c:scatterChart>
      <c:valAx>
        <c:axId val="655284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85048"/>
        <c:crosses val="autoZero"/>
        <c:crossBetween val="midCat"/>
      </c:valAx>
      <c:valAx>
        <c:axId val="65528504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84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'Conditional PD distribution'!$C$8</c:f>
              <c:strCache>
                <c:ptCount val="1"/>
                <c:pt idx="0">
                  <c:v>actual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'Conditional PD distribution'!$B$9:$B$109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'Conditional PD distribution'!$C$9:$C$109</c:f>
              <c:numCache>
                <c:formatCode>General</c:formatCode>
                <c:ptCount val="101"/>
                <c:pt idx="0">
                  <c:v>6.107310143500401E-21</c:v>
                </c:pt>
                <c:pt idx="1">
                  <c:v>3.6199711569760886E-19</c:v>
                </c:pt>
                <c:pt idx="2">
                  <c:v>1.0621000866782485E-17</c:v>
                </c:pt>
                <c:pt idx="3">
                  <c:v>2.0564843100444065E-16</c:v>
                </c:pt>
                <c:pt idx="4">
                  <c:v>2.9559172945414977E-15</c:v>
                </c:pt>
                <c:pt idx="5">
                  <c:v>3.3639431086149509E-14</c:v>
                </c:pt>
                <c:pt idx="6">
                  <c:v>3.1570112711189247E-13</c:v>
                </c:pt>
                <c:pt idx="7">
                  <c:v>2.5128182706259558E-12</c:v>
                </c:pt>
                <c:pt idx="8">
                  <c:v>1.7314469028202769E-11</c:v>
                </c:pt>
                <c:pt idx="9">
                  <c:v>1.0490824719724775E-10</c:v>
                </c:pt>
                <c:pt idx="10">
                  <c:v>5.6585630376455047E-10</c:v>
                </c:pt>
                <c:pt idx="11">
                  <c:v>2.7441706673743636E-9</c:v>
                </c:pt>
                <c:pt idx="12">
                  <c:v>1.2063546805319525E-8</c:v>
                </c:pt>
                <c:pt idx="13">
                  <c:v>4.8402686672960086E-8</c:v>
                </c:pt>
                <c:pt idx="14">
                  <c:v>1.7828541679278971E-7</c:v>
                </c:pt>
                <c:pt idx="15">
                  <c:v>6.0586818544563535E-7</c:v>
                </c:pt>
                <c:pt idx="16">
                  <c:v>1.907797284118425E-6</c:v>
                </c:pt>
                <c:pt idx="17">
                  <c:v>5.5875024431763285E-6</c:v>
                </c:pt>
                <c:pt idx="18">
                  <c:v>1.5271385786613186E-5</c:v>
                </c:pt>
                <c:pt idx="19">
                  <c:v>3.9065540282264118E-5</c:v>
                </c:pt>
                <c:pt idx="20">
                  <c:v>9.3778653647732575E-5</c:v>
                </c:pt>
                <c:pt idx="21">
                  <c:v>2.1175312137241019E-4</c:v>
                </c:pt>
                <c:pt idx="22">
                  <c:v>4.5070187668387872E-4</c:v>
                </c:pt>
                <c:pt idx="23">
                  <c:v>9.0596468352732197E-4</c:v>
                </c:pt>
                <c:pt idx="24">
                  <c:v>1.7228437307390404E-3</c:v>
                </c:pt>
                <c:pt idx="25">
                  <c:v>3.1043780615046162E-3</c:v>
                </c:pt>
                <c:pt idx="26">
                  <c:v>5.3078379617786248E-3</c:v>
                </c:pt>
                <c:pt idx="27">
                  <c:v>8.6226497780377519E-3</c:v>
                </c:pt>
                <c:pt idx="28">
                  <c:v>1.332480035905809E-2</c:v>
                </c:pt>
                <c:pt idx="29">
                  <c:v>1.960876964004658E-2</c:v>
                </c:pt>
                <c:pt idx="30">
                  <c:v>2.7506958593095571E-2</c:v>
                </c:pt>
                <c:pt idx="31">
                  <c:v>3.681578414594984E-2</c:v>
                </c:pt>
                <c:pt idx="32">
                  <c:v>4.7053106637207395E-2</c:v>
                </c:pt>
                <c:pt idx="33">
                  <c:v>5.7469631257102735E-2</c:v>
                </c:pt>
                <c:pt idx="34">
                  <c:v>6.7125793316569815E-2</c:v>
                </c:pt>
                <c:pt idx="35">
                  <c:v>7.5027496927224768E-2</c:v>
                </c:pt>
                <c:pt idx="36">
                  <c:v>8.029462030328359E-2</c:v>
                </c:pt>
                <c:pt idx="37">
                  <c:v>8.2322743209026758E-2</c:v>
                </c:pt>
                <c:pt idx="38">
                  <c:v>8.0896907862514703E-2</c:v>
                </c:pt>
                <c:pt idx="39">
                  <c:v>7.6227932272092305E-2</c:v>
                </c:pt>
                <c:pt idx="40">
                  <c:v>6.8903156592385689E-2</c:v>
                </c:pt>
                <c:pt idx="41">
                  <c:v>5.9767026158705515E-2</c:v>
                </c:pt>
                <c:pt idx="42">
                  <c:v>4.9764483791518994E-2</c:v>
                </c:pt>
                <c:pt idx="43">
                  <c:v>3.9786357129062734E-2</c:v>
                </c:pt>
                <c:pt idx="44">
                  <c:v>3.0550019441169699E-2</c:v>
                </c:pt>
                <c:pt idx="45">
                  <c:v>2.2534199730131023E-2</c:v>
                </c:pt>
                <c:pt idx="46">
                  <c:v>1.5969897632139435E-2</c:v>
                </c:pt>
                <c:pt idx="47">
                  <c:v>1.0875598580007946E-2</c:v>
                </c:pt>
                <c:pt idx="48">
                  <c:v>7.1177533876758429E-3</c:v>
                </c:pt>
                <c:pt idx="49">
                  <c:v>4.4771880453565813E-3</c:v>
                </c:pt>
                <c:pt idx="50">
                  <c:v>2.7068278885285157E-3</c:v>
                </c:pt>
                <c:pt idx="51">
                  <c:v>1.5729524919266583E-3</c:v>
                </c:pt>
                <c:pt idx="52">
                  <c:v>8.7854391954895388E-4</c:v>
                </c:pt>
                <c:pt idx="53">
                  <c:v>4.7161105873200226E-4</c:v>
                </c:pt>
                <c:pt idx="54">
                  <c:v>2.4330061880591548E-4</c:v>
                </c:pt>
                <c:pt idx="55">
                  <c:v>1.2061282533240167E-4</c:v>
                </c:pt>
                <c:pt idx="56">
                  <c:v>5.7447761772541762E-5</c:v>
                </c:pt>
                <c:pt idx="57">
                  <c:v>2.6284884241760783E-5</c:v>
                </c:pt>
                <c:pt idx="58">
                  <c:v>1.155052344313001E-5</c:v>
                </c:pt>
                <c:pt idx="59">
                  <c:v>4.8736471113725036E-6</c:v>
                </c:pt>
                <c:pt idx="60">
                  <c:v>1.9739757871425247E-6</c:v>
                </c:pt>
                <c:pt idx="61">
                  <c:v>7.672327146069365E-7</c:v>
                </c:pt>
                <c:pt idx="62">
                  <c:v>2.8605870315848941E-7</c:v>
                </c:pt>
                <c:pt idx="63">
                  <c:v>1.0227119905353059E-7</c:v>
                </c:pt>
                <c:pt idx="64">
                  <c:v>3.5045336388839317E-8</c:v>
                </c:pt>
                <c:pt idx="65">
                  <c:v>1.1504679176009436E-8</c:v>
                </c:pt>
                <c:pt idx="66">
                  <c:v>3.6162109443074888E-9</c:v>
                </c:pt>
                <c:pt idx="67">
                  <c:v>1.0877097105432299E-9</c:v>
                </c:pt>
                <c:pt idx="68">
                  <c:v>3.128766608828761E-10</c:v>
                </c:pt>
                <c:pt idx="69">
                  <c:v>8.600608732906698E-11</c:v>
                </c:pt>
                <c:pt idx="70">
                  <c:v>2.2576051117071608E-11</c:v>
                </c:pt>
                <c:pt idx="71">
                  <c:v>5.6541330115098256E-12</c:v>
                </c:pt>
                <c:pt idx="72">
                  <c:v>1.3498535639510065E-12</c:v>
                </c:pt>
                <c:pt idx="73">
                  <c:v>3.0688592038074986E-13</c:v>
                </c:pt>
                <c:pt idx="74">
                  <c:v>6.6368827223878777E-14</c:v>
                </c:pt>
                <c:pt idx="75">
                  <c:v>1.3637393222917356E-14</c:v>
                </c:pt>
                <c:pt idx="76">
                  <c:v>2.6589668000180366E-15</c:v>
                </c:pt>
                <c:pt idx="77">
                  <c:v>4.9123416767781461E-16</c:v>
                </c:pt>
                <c:pt idx="78">
                  <c:v>8.5857242282123392E-17</c:v>
                </c:pt>
                <c:pt idx="79">
                  <c:v>1.4171886307635481E-17</c:v>
                </c:pt>
                <c:pt idx="80">
                  <c:v>2.2050178143724639E-18</c:v>
                </c:pt>
                <c:pt idx="81">
                  <c:v>3.2270984475961599E-19</c:v>
                </c:pt>
                <c:pt idx="82">
                  <c:v>4.4320749713358467E-20</c:v>
                </c:pt>
                <c:pt idx="83">
                  <c:v>5.6971367755691385E-21</c:v>
                </c:pt>
                <c:pt idx="84">
                  <c:v>6.8341013716815642E-22</c:v>
                </c:pt>
                <c:pt idx="85">
                  <c:v>7.6249606819067739E-23</c:v>
                </c:pt>
                <c:pt idx="86">
                  <c:v>7.8828915466149544E-24</c:v>
                </c:pt>
                <c:pt idx="87">
                  <c:v>7.5188162221641517E-25</c:v>
                </c:pt>
                <c:pt idx="88">
                  <c:v>6.5836280221248327E-26</c:v>
                </c:pt>
                <c:pt idx="89">
                  <c:v>5.26152525858624E-27</c:v>
                </c:pt>
                <c:pt idx="90">
                  <c:v>3.8116847139432355E-28</c:v>
                </c:pt>
                <c:pt idx="91">
                  <c:v>2.4827369816386537E-29</c:v>
                </c:pt>
                <c:pt idx="92">
                  <c:v>1.4395956661921941E-30</c:v>
                </c:pt>
                <c:pt idx="93">
                  <c:v>7.3401122950107816E-32</c:v>
                </c:pt>
                <c:pt idx="94">
                  <c:v>3.2398732918499471E-33</c:v>
                </c:pt>
                <c:pt idx="95">
                  <c:v>1.2128603705031518E-34</c:v>
                </c:pt>
                <c:pt idx="96">
                  <c:v>3.7442489133060454E-36</c:v>
                </c:pt>
                <c:pt idx="97">
                  <c:v>9.1518333790764341E-38</c:v>
                </c:pt>
                <c:pt idx="98">
                  <c:v>1.660574707443278E-39</c:v>
                </c:pt>
                <c:pt idx="99">
                  <c:v>1.988421063589382E-41</c:v>
                </c:pt>
                <c:pt idx="100">
                  <c:v>1.1785920035152688E-43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2C-4BB9-9266-C4510B9ABC61}"/>
            </c:ext>
          </c:extLst>
        </c:ser>
        <c:ser>
          <c:idx val="1"/>
          <c:order val="1"/>
          <c:tx>
            <c:strRef>
              <c:f>'Conditional PD distribution'!$D$8</c:f>
              <c:strCache>
                <c:ptCount val="1"/>
                <c:pt idx="0">
                  <c:v>normal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'Conditional PD distribution'!$B$9:$B$109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'Conditional PD distribution'!$D$9:$D$109</c:f>
              <c:numCache>
                <c:formatCode>General</c:formatCode>
                <c:ptCount val="101"/>
                <c:pt idx="0">
                  <c:v>1.1109848888200313E-14</c:v>
                </c:pt>
                <c:pt idx="1">
                  <c:v>5.3472118312268799E-14</c:v>
                </c:pt>
                <c:pt idx="2">
                  <c:v>2.4658093965307751E-13</c:v>
                </c:pt>
                <c:pt idx="3">
                  <c:v>1.0894429533594056E-12</c:v>
                </c:pt>
                <c:pt idx="4">
                  <c:v>4.6117139540811304E-12</c:v>
                </c:pt>
                <c:pt idx="5">
                  <c:v>1.870394025356887E-11</c:v>
                </c:pt>
                <c:pt idx="6">
                  <c:v>7.2680302799914201E-11</c:v>
                </c:pt>
                <c:pt idx="7">
                  <c:v>2.7059092438832887E-10</c:v>
                </c:pt>
                <c:pt idx="8">
                  <c:v>9.6521175279811002E-10</c:v>
                </c:pt>
                <c:pt idx="9">
                  <c:v>3.298715441086459E-9</c:v>
                </c:pt>
                <c:pt idx="10">
                  <c:v>1.0801398331411466E-8</c:v>
                </c:pt>
                <c:pt idx="11">
                  <c:v>3.3886599343493372E-8</c:v>
                </c:pt>
                <c:pt idx="12">
                  <c:v>1.0185652848879281E-7</c:v>
                </c:pt>
                <c:pt idx="13">
                  <c:v>2.9333415208605439E-7</c:v>
                </c:pt>
                <c:pt idx="14">
                  <c:v>8.0937403096121379E-7</c:v>
                </c:pt>
                <c:pt idx="15">
                  <c:v>2.1396797612094206E-6</c:v>
                </c:pt>
                <c:pt idx="16">
                  <c:v>5.4195243090026575E-6</c:v>
                </c:pt>
                <c:pt idx="17">
                  <c:v>1.3151837533020627E-5</c:v>
                </c:pt>
                <c:pt idx="18">
                  <c:v>3.0579091526936624E-5</c:v>
                </c:pt>
                <c:pt idx="19">
                  <c:v>6.8120150561787842E-5</c:v>
                </c:pt>
                <c:pt idx="20">
                  <c:v>1.4539166042654589E-4</c:v>
                </c:pt>
                <c:pt idx="21">
                  <c:v>2.9731462335893806E-4</c:v>
                </c:pt>
                <c:pt idx="22">
                  <c:v>5.8251340143322531E-4</c:v>
                </c:pt>
                <c:pt idx="23">
                  <c:v>1.0934739695607348E-3</c:v>
                </c:pt>
                <c:pt idx="24">
                  <c:v>1.9666354055720521E-3</c:v>
                </c:pt>
                <c:pt idx="25">
                  <c:v>3.3888483517502976E-3</c:v>
                </c:pt>
                <c:pt idx="26">
                  <c:v>5.5949124262485109E-3</c:v>
                </c:pt>
                <c:pt idx="27">
                  <c:v>8.8500826844636581E-3</c:v>
                </c:pt>
                <c:pt idx="28">
                  <c:v>1.3412639135846428E-2</c:v>
                </c:pt>
                <c:pt idx="29">
                  <c:v>1.9475742725889131E-2</c:v>
                </c:pt>
                <c:pt idx="30">
                  <c:v>2.7094846470222939E-2</c:v>
                </c:pt>
                <c:pt idx="31">
                  <c:v>3.6115384000426617E-2</c:v>
                </c:pt>
                <c:pt idx="32">
                  <c:v>4.6122268124565755E-2</c:v>
                </c:pt>
                <c:pt idx="33">
                  <c:v>5.6434145334001935E-2</c:v>
                </c:pt>
                <c:pt idx="34">
                  <c:v>6.6158572394699064E-2</c:v>
                </c:pt>
                <c:pt idx="35">
                  <c:v>7.4309300813022353E-2</c:v>
                </c:pt>
                <c:pt idx="36">
                  <c:v>7.9967423141953514E-2</c:v>
                </c:pt>
                <c:pt idx="37">
                  <c:v>8.2450995774811284E-2</c:v>
                </c:pt>
                <c:pt idx="38">
                  <c:v>8.1450093156384448E-2</c:v>
                </c:pt>
                <c:pt idx="39">
                  <c:v>7.7090372199973875E-2</c:v>
                </c:pt>
                <c:pt idx="40">
                  <c:v>6.9907146692481575E-2</c:v>
                </c:pt>
                <c:pt idx="41">
                  <c:v>6.0737356679910308E-2</c:v>
                </c:pt>
                <c:pt idx="42">
                  <c:v>5.0559535451790552E-2</c:v>
                </c:pt>
                <c:pt idx="43">
                  <c:v>4.0323956672194475E-2</c:v>
                </c:pt>
                <c:pt idx="44">
                  <c:v>3.0813148768488483E-2</c:v>
                </c:pt>
                <c:pt idx="45">
                  <c:v>2.2559106728643707E-2</c:v>
                </c:pt>
                <c:pt idx="46">
                  <c:v>1.5824157393062192E-2</c:v>
                </c:pt>
                <c:pt idx="47">
                  <c:v>1.0634869517520257E-2</c:v>
                </c:pt>
                <c:pt idx="48">
                  <c:v>6.8478874607596401E-3</c:v>
                </c:pt>
                <c:pt idx="49">
                  <c:v>4.2246811795797218E-3</c:v>
                </c:pt>
                <c:pt idx="50">
                  <c:v>2.4971471929616284E-3</c:v>
                </c:pt>
                <c:pt idx="51">
                  <c:v>1.4141882403497618E-3</c:v>
                </c:pt>
                <c:pt idx="52">
                  <c:v>7.6733176618262451E-4</c:v>
                </c:pt>
                <c:pt idx="53">
                  <c:v>3.989073243518744E-4</c:v>
                </c:pt>
                <c:pt idx="54">
                  <c:v>1.9868895252443954E-4</c:v>
                </c:pt>
                <c:pt idx="55">
                  <c:v>9.4817457737508335E-5</c:v>
                </c:pt>
                <c:pt idx="56">
                  <c:v>4.3352662037512492E-5</c:v>
                </c:pt>
                <c:pt idx="57">
                  <c:v>1.8991361926610245E-5</c:v>
                </c:pt>
                <c:pt idx="58">
                  <c:v>7.9709360981684237E-6</c:v>
                </c:pt>
                <c:pt idx="59">
                  <c:v>3.2053497288598697E-6</c:v>
                </c:pt>
                <c:pt idx="60">
                  <c:v>1.2349642682138868E-6</c:v>
                </c:pt>
                <c:pt idx="61">
                  <c:v>4.5587548643463734E-7</c:v>
                </c:pt>
                <c:pt idx="62">
                  <c:v>1.6123189714261112E-7</c:v>
                </c:pt>
                <c:pt idx="63">
                  <c:v>5.4634700343380999E-8</c:v>
                </c:pt>
                <c:pt idx="64">
                  <c:v>1.7737770992478681E-8</c:v>
                </c:pt>
                <c:pt idx="65">
                  <c:v>5.5175007197738012E-9</c:v>
                </c:pt>
                <c:pt idx="66">
                  <c:v>1.644366537028982E-9</c:v>
                </c:pt>
                <c:pt idx="67">
                  <c:v>4.6953474915976565E-10</c:v>
                </c:pt>
                <c:pt idx="68">
                  <c:v>1.2845461871187861E-10</c:v>
                </c:pt>
                <c:pt idx="69">
                  <c:v>3.3670113988390287E-11</c:v>
                </c:pt>
                <c:pt idx="70">
                  <c:v>8.4557537292474863E-12</c:v>
                </c:pt>
                <c:pt idx="71">
                  <c:v>2.0345714303388033E-12</c:v>
                </c:pt>
                <c:pt idx="72">
                  <c:v>4.6903627771558433E-13</c:v>
                </c:pt>
                <c:pt idx="73">
                  <c:v>1.0359834183605846E-13</c:v>
                </c:pt>
                <c:pt idx="74">
                  <c:v>2.1923609141333336E-14</c:v>
                </c:pt>
                <c:pt idx="75">
                  <c:v>4.4451270058539509E-15</c:v>
                </c:pt>
                <c:pt idx="76">
                  <c:v>8.6351358482262714E-16</c:v>
                </c:pt>
                <c:pt idx="77">
                  <c:v>1.6071893699806158E-16</c:v>
                </c:pt>
                <c:pt idx="78">
                  <c:v>2.8660106848044838E-17</c:v>
                </c:pt>
                <c:pt idx="79">
                  <c:v>4.8966767553739166E-18</c:v>
                </c:pt>
                <c:pt idx="80">
                  <c:v>8.0156351928930431E-19</c:v>
                </c:pt>
                <c:pt idx="81">
                  <c:v>1.2571506601326072E-19</c:v>
                </c:pt>
                <c:pt idx="82">
                  <c:v>1.889076689272027E-20</c:v>
                </c:pt>
                <c:pt idx="83">
                  <c:v>2.7197233320450142E-21</c:v>
                </c:pt>
                <c:pt idx="84">
                  <c:v>3.7515673014750526E-22</c:v>
                </c:pt>
                <c:pt idx="85">
                  <c:v>4.9580811837191362E-23</c:v>
                </c:pt>
                <c:pt idx="86">
                  <c:v>6.2780880475254865E-24</c:v>
                </c:pt>
                <c:pt idx="87">
                  <c:v>7.6164754681717112E-25</c:v>
                </c:pt>
                <c:pt idx="88">
                  <c:v>8.8530633078901724E-26</c:v>
                </c:pt>
                <c:pt idx="89">
                  <c:v>9.8592974427402184E-27</c:v>
                </c:pt>
                <c:pt idx="90">
                  <c:v>1.0519891118282152E-27</c:v>
                </c:pt>
                <c:pt idx="91">
                  <c:v>1.0754479538667954E-28</c:v>
                </c:pt>
                <c:pt idx="92">
                  <c:v>1.0533687429700185E-29</c:v>
                </c:pt>
                <c:pt idx="93">
                  <c:v>9.8851743514153435E-31</c:v>
                </c:pt>
                <c:pt idx="94">
                  <c:v>8.8879400571980718E-32</c:v>
                </c:pt>
                <c:pt idx="95">
                  <c:v>7.6565086420435579E-33</c:v>
                </c:pt>
                <c:pt idx="96">
                  <c:v>6.319363159612527E-34</c:v>
                </c:pt>
                <c:pt idx="97">
                  <c:v>4.9972229727547529E-35</c:v>
                </c:pt>
                <c:pt idx="98">
                  <c:v>3.7861430479430937E-36</c:v>
                </c:pt>
                <c:pt idx="99">
                  <c:v>2.7483889002364467E-37</c:v>
                </c:pt>
                <c:pt idx="100">
                  <c:v>1.911490879760162E-38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2C-4BB9-9266-C4510B9AB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284720"/>
        <c:axId val="655285048"/>
      </c:scatterChart>
      <c:valAx>
        <c:axId val="655284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85048"/>
        <c:crosses val="autoZero"/>
        <c:crossBetween val="midCat"/>
      </c:valAx>
      <c:valAx>
        <c:axId val="655285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284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175260</xdr:colOff>
      <xdr:row>14</xdr:row>
      <xdr:rowOff>160020</xdr:rowOff>
    </xdr:from>
    <xdr:to>
      <xdr:col>16</xdr:col>
      <xdr:colOff>441960</xdr:colOff>
      <xdr:row>29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4D9764B-F122-4562-AFCC-D9F3FB3E5E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160020</xdr:colOff>
      <xdr:row>0</xdr:row>
      <xdr:rowOff>22860</xdr:rowOff>
    </xdr:from>
    <xdr:to>
      <xdr:col>16</xdr:col>
      <xdr:colOff>441960</xdr:colOff>
      <xdr:row>14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DF2B202-60D8-49D4-9D07-E10D894DD9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106680</xdr:colOff>
      <xdr:row>2</xdr:row>
      <xdr:rowOff>22860</xdr:rowOff>
    </xdr:from>
    <xdr:to>
      <xdr:col>19</xdr:col>
      <xdr:colOff>411480</xdr:colOff>
      <xdr:row>17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87878F1-5A1C-4F79-9BEF-E28B5A7E3F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236220</xdr:colOff>
      <xdr:row>1</xdr:row>
      <xdr:rowOff>99060</xdr:rowOff>
    </xdr:from>
    <xdr:to>
      <xdr:col>11</xdr:col>
      <xdr:colOff>541020</xdr:colOff>
      <xdr:row>16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A8ADA76-78F0-4F3F-B221-3860052283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9626C-043F-4C2F-9582-12FC7797A864}">
  <sheetPr codeName="Sheet1"/>
  <dimension ref="B2:AB1022"/>
  <sheetViews>
    <sheetView showGridLines="0" tabSelected="1" workbookViewId="0">
      <selection activeCell="K8" sqref="K8"/>
    </sheetView>
  </sheetViews>
  <sheetFormatPr defaultRowHeight="14.4"/>
  <cols>
    <col min="4" max="4" width="11.109375" customWidth="1"/>
    <col min="10" max="10" width="14.44140625" bestFit="1" customWidth="1"/>
    <col min="11" max="11" width="9.88671875" bestFit="1" customWidth="1"/>
    <col min="12" max="12" width="12" bestFit="1" customWidth="1"/>
    <col min="13" max="14" width="13.6640625" bestFit="1" customWidth="1"/>
    <col min="15" max="15" width="12.5546875" bestFit="1" customWidth="1"/>
    <col min="16" max="16" width="13.6640625" bestFit="1" customWidth="1"/>
    <col min="18" max="18" width="13.21875" bestFit="1" customWidth="1"/>
    <col min="19" max="19" width="15.6640625" bestFit="1" customWidth="1"/>
    <col min="20" max="20" width="11.5546875" bestFit="1" customWidth="1"/>
    <col min="21" max="21" width="15.6640625" bestFit="1" customWidth="1"/>
    <col min="22" max="22" width="10.33203125" bestFit="1" customWidth="1"/>
    <col min="23" max="23" width="9.33203125" bestFit="1" customWidth="1"/>
  </cols>
  <sheetData>
    <row r="2" spans="2:28" ht="15" thickBot="1">
      <c r="L2" s="3"/>
      <c r="T2" s="6"/>
      <c r="U2" s="6"/>
      <c r="V2" s="12"/>
      <c r="X2" s="11"/>
    </row>
    <row r="3" spans="2:28" ht="15" thickBot="1">
      <c r="B3" s="67" t="s">
        <v>25</v>
      </c>
      <c r="C3" s="68"/>
      <c r="D3" s="68"/>
      <c r="E3" s="68"/>
      <c r="F3" s="68"/>
      <c r="G3" s="68"/>
      <c r="H3" s="69"/>
      <c r="J3" s="70" t="s">
        <v>24</v>
      </c>
      <c r="K3" s="71"/>
      <c r="M3" s="4"/>
      <c r="N3" s="3"/>
      <c r="T3" s="6"/>
      <c r="U3" s="6"/>
      <c r="V3" s="7"/>
    </row>
    <row r="4" spans="2:28" ht="15" thickBot="1">
      <c r="B4" s="37" t="s">
        <v>18</v>
      </c>
      <c r="C4" s="38" t="s">
        <v>4</v>
      </c>
      <c r="D4" s="39" t="s">
        <v>20</v>
      </c>
      <c r="E4" s="38" t="s">
        <v>21</v>
      </c>
      <c r="F4" s="38" t="s">
        <v>19</v>
      </c>
      <c r="G4" s="38" t="s">
        <v>1</v>
      </c>
      <c r="H4" s="40" t="s">
        <v>10</v>
      </c>
      <c r="I4" s="2"/>
      <c r="J4" s="25" t="s">
        <v>22</v>
      </c>
      <c r="K4" s="41">
        <v>0.999</v>
      </c>
      <c r="N4" s="4"/>
      <c r="P4" s="16">
        <f ca="1">SUM(P7:P166)</f>
        <v>0</v>
      </c>
      <c r="W4" s="14"/>
      <c r="X4" s="6"/>
    </row>
    <row r="5" spans="2:28">
      <c r="B5" s="27">
        <v>1</v>
      </c>
      <c r="C5" s="30">
        <v>5.0000000000000001E-4</v>
      </c>
      <c r="D5" s="59">
        <v>5000</v>
      </c>
      <c r="E5" s="32">
        <v>0.3</v>
      </c>
      <c r="F5" s="34">
        <v>5</v>
      </c>
      <c r="G5" s="61">
        <f ca="1">C5*D5*(1-E5)*F5</f>
        <v>8.75</v>
      </c>
      <c r="H5" s="62">
        <f ca="1">OFFSET($H$15,MATCH(B5,$B$16:$B$175,0),0,1,1)*F5</f>
        <v>0</v>
      </c>
      <c r="I5" s="2"/>
      <c r="J5" s="27" t="s">
        <v>3</v>
      </c>
      <c r="K5" s="42">
        <v>0.2</v>
      </c>
      <c r="N5" t="s">
        <v>7</v>
      </c>
      <c r="O5" t="s">
        <v>17</v>
      </c>
    </row>
    <row r="6" spans="2:28">
      <c r="B6" s="27">
        <v>2</v>
      </c>
      <c r="C6" s="30">
        <v>1E-3</v>
      </c>
      <c r="D6" s="59">
        <v>2500</v>
      </c>
      <c r="E6" s="32">
        <v>0.4</v>
      </c>
      <c r="F6" s="34">
        <v>20</v>
      </c>
      <c r="G6" s="61">
        <f t="shared" ref="G6:G12" ca="1" si="0">C6*D6*(1-E6)*F6</f>
        <v>30</v>
      </c>
      <c r="H6" s="62">
        <f t="shared" ref="H6:H12" ca="1" si="1">OFFSET($H$15,MATCH(B6,$B$16:$B$175,0),0,1,1)*F6</f>
        <v>0</v>
      </c>
      <c r="J6" s="27" t="s">
        <v>2</v>
      </c>
      <c r="K6" s="45">
        <v>0</v>
      </c>
      <c r="L6" s="5">
        <v>0</v>
      </c>
      <c r="M6">
        <f t="shared" ref="M6:M69" ca="1" si="2">L6*$K$10</f>
        <v>0</v>
      </c>
      <c r="N6" s="4" t="e">
        <f t="array" aca="1" ref="N6:N1006" ca="1">LossDistributionMC(C16:C175,D16:D175,F16:F175,E16:E175,K8,K7,K4,K9)</f>
        <v>#VALUE!</v>
      </c>
      <c r="O6" s="4">
        <f t="array" aca="1" ref="O6:P1022" ca="1">LossDistributionNA(C16:C175,D16:D175,F16:F175,E16:E175,K6,K7,K4)</f>
        <v>0</v>
      </c>
      <c r="P6" s="16">
        <f ca="1"/>
        <v>0</v>
      </c>
      <c r="Q6" s="1"/>
      <c r="R6" s="47">
        <f ca="1">R7</f>
        <v>1.0000000000000009E-3</v>
      </c>
      <c r="S6" s="47">
        <v>0</v>
      </c>
      <c r="T6" s="47">
        <f ca="1">R6</f>
        <v>1.0000000000000009E-3</v>
      </c>
      <c r="U6" s="7" t="e">
        <f ca="1">S7</f>
        <v>#N/A</v>
      </c>
      <c r="V6" s="21"/>
      <c r="W6" s="22"/>
      <c r="X6" s="23"/>
      <c r="Z6" s="15"/>
      <c r="AA6" s="11"/>
      <c r="AB6" s="15"/>
    </row>
    <row r="7" spans="2:28">
      <c r="B7" s="27">
        <v>3</v>
      </c>
      <c r="C7" s="30">
        <v>2E-3</v>
      </c>
      <c r="D7" s="59">
        <v>2500</v>
      </c>
      <c r="E7" s="32">
        <v>0.4</v>
      </c>
      <c r="F7" s="34">
        <v>40</v>
      </c>
      <c r="G7" s="61">
        <f ca="1">C7*D7*(1-E7)*F7</f>
        <v>120</v>
      </c>
      <c r="H7" s="62">
        <f t="shared" ca="1" si="1"/>
        <v>0</v>
      </c>
      <c r="I7" s="47"/>
      <c r="J7" s="27" t="s">
        <v>0</v>
      </c>
      <c r="K7" s="45">
        <v>1000</v>
      </c>
      <c r="L7" s="5">
        <f ca="1">L6+0.5*1/$K$7</f>
        <v>5.0000000000000001E-4</v>
      </c>
      <c r="M7">
        <f t="shared" ca="1" si="2"/>
        <v>150</v>
      </c>
      <c r="N7" s="4" t="e">
        <f ca="1"/>
        <v>#VALUE!</v>
      </c>
      <c r="O7" s="4">
        <f ca="1"/>
        <v>0</v>
      </c>
      <c r="P7" s="13">
        <f ca="1"/>
        <v>0</v>
      </c>
      <c r="R7" s="47">
        <f ca="1">1-$K$4</f>
        <v>1.0000000000000009E-3</v>
      </c>
      <c r="S7" s="7" t="e">
        <f ca="1">K13</f>
        <v>#N/A</v>
      </c>
      <c r="T7" s="47">
        <v>1.0000000000000001E-9</v>
      </c>
      <c r="U7" s="7" t="e">
        <f ca="1">S7</f>
        <v>#N/A</v>
      </c>
      <c r="V7" s="21"/>
      <c r="W7" s="22"/>
      <c r="X7" s="23"/>
      <c r="Z7" s="15"/>
      <c r="AB7" s="15"/>
    </row>
    <row r="8" spans="2:28">
      <c r="B8" s="27">
        <v>4</v>
      </c>
      <c r="C8" s="30">
        <v>0.01</v>
      </c>
      <c r="D8" s="59">
        <v>2500</v>
      </c>
      <c r="E8" s="32">
        <v>0.5</v>
      </c>
      <c r="F8" s="34">
        <v>20</v>
      </c>
      <c r="G8" s="61">
        <f t="shared" ca="1" si="0"/>
        <v>250</v>
      </c>
      <c r="H8" s="62">
        <f t="shared" ca="1" si="1"/>
        <v>0</v>
      </c>
      <c r="I8">
        <f ca="1">(H8-G8)/F8</f>
        <v>-12.5</v>
      </c>
      <c r="J8" s="27" t="s">
        <v>9</v>
      </c>
      <c r="K8" s="45">
        <v>0</v>
      </c>
      <c r="L8" s="5">
        <f t="shared" ref="L8:L71" ca="1" si="3">L7+1/$K$7</f>
        <v>1.5E-3</v>
      </c>
      <c r="M8">
        <f t="shared" ca="1" si="2"/>
        <v>450</v>
      </c>
      <c r="N8" s="4" t="e">
        <f ca="1"/>
        <v>#VALUE!</v>
      </c>
      <c r="O8" s="4">
        <f ca="1"/>
        <v>0</v>
      </c>
      <c r="P8" s="13">
        <f ca="1"/>
        <v>0</v>
      </c>
      <c r="U8" s="20"/>
      <c r="V8" s="21"/>
      <c r="W8" s="22"/>
      <c r="X8" s="23"/>
      <c r="Z8" s="15"/>
      <c r="AB8" s="15"/>
    </row>
    <row r="9" spans="2:28">
      <c r="B9" s="27">
        <v>5</v>
      </c>
      <c r="C9" s="30">
        <v>0.03</v>
      </c>
      <c r="D9" s="59">
        <v>1000</v>
      </c>
      <c r="E9" s="32">
        <v>0.65</v>
      </c>
      <c r="F9" s="34">
        <v>30</v>
      </c>
      <c r="G9" s="61">
        <f t="shared" ca="1" si="0"/>
        <v>315</v>
      </c>
      <c r="H9" s="62">
        <f t="shared" ca="1" si="1"/>
        <v>0</v>
      </c>
      <c r="I9" s="5"/>
      <c r="J9" s="52" t="s">
        <v>28</v>
      </c>
      <c r="K9" s="53">
        <f ca="1">NOW()</f>
        <v>43874.633623958332</v>
      </c>
      <c r="L9" s="5">
        <f t="shared" ca="1" si="3"/>
        <v>2.5000000000000001E-3</v>
      </c>
      <c r="M9">
        <f t="shared" ca="1" si="2"/>
        <v>750</v>
      </c>
      <c r="N9" s="4" t="e">
        <f ca="1"/>
        <v>#VALUE!</v>
      </c>
      <c r="O9" s="4">
        <f ca="1"/>
        <v>0</v>
      </c>
      <c r="P9" s="13">
        <f ca="1"/>
        <v>0</v>
      </c>
      <c r="U9" s="20"/>
      <c r="V9" s="21"/>
      <c r="W9" s="22"/>
      <c r="X9" s="23"/>
      <c r="Z9" s="15"/>
      <c r="AB9" s="15"/>
    </row>
    <row r="10" spans="2:28" ht="15" thickBot="1">
      <c r="B10" s="27">
        <v>6</v>
      </c>
      <c r="C10" s="30">
        <v>0.04</v>
      </c>
      <c r="D10" s="59">
        <v>1000</v>
      </c>
      <c r="E10" s="32">
        <v>0.65</v>
      </c>
      <c r="F10" s="34">
        <v>30</v>
      </c>
      <c r="G10" s="61">
        <f t="shared" ca="1" si="0"/>
        <v>420</v>
      </c>
      <c r="H10" s="62">
        <f t="shared" ca="1" si="1"/>
        <v>0</v>
      </c>
      <c r="J10" s="28" t="s">
        <v>23</v>
      </c>
      <c r="K10" s="46">
        <f ca="1">SUM(C16:C175)</f>
        <v>300000</v>
      </c>
      <c r="L10" s="5">
        <f t="shared" ca="1" si="3"/>
        <v>3.5000000000000001E-3</v>
      </c>
      <c r="M10">
        <f t="shared" ca="1" si="2"/>
        <v>1050</v>
      </c>
      <c r="N10" s="4" t="e">
        <f ca="1"/>
        <v>#VALUE!</v>
      </c>
      <c r="O10" s="4">
        <f ca="1"/>
        <v>0</v>
      </c>
      <c r="P10" s="13">
        <f ca="1"/>
        <v>0</v>
      </c>
      <c r="R10" t="e">
        <f ca="1">MATCH(1-K4,N6:N506,-1)</f>
        <v>#N/A</v>
      </c>
      <c r="U10" s="20"/>
      <c r="V10" s="21"/>
      <c r="W10" s="22"/>
      <c r="X10" s="23"/>
      <c r="Z10" s="15"/>
      <c r="AB10" s="15"/>
    </row>
    <row r="11" spans="2:28" ht="15" thickBot="1">
      <c r="B11" s="27">
        <v>7</v>
      </c>
      <c r="C11" s="30">
        <v>0.05</v>
      </c>
      <c r="D11" s="59">
        <v>1000</v>
      </c>
      <c r="E11" s="32">
        <v>0.65</v>
      </c>
      <c r="F11" s="34">
        <v>10</v>
      </c>
      <c r="G11" s="61">
        <f t="shared" ca="1" si="0"/>
        <v>175</v>
      </c>
      <c r="H11" s="62">
        <f t="shared" ca="1" si="1"/>
        <v>0</v>
      </c>
      <c r="L11" s="5">
        <f t="shared" ca="1" si="3"/>
        <v>4.5000000000000005E-3</v>
      </c>
      <c r="M11">
        <f t="shared" ca="1" si="2"/>
        <v>1350.0000000000002</v>
      </c>
      <c r="N11" s="4" t="e">
        <f ca="1"/>
        <v>#VALUE!</v>
      </c>
      <c r="O11" s="4">
        <f ca="1"/>
        <v>0</v>
      </c>
      <c r="P11" s="13">
        <f ca="1"/>
        <v>0</v>
      </c>
      <c r="U11" s="20"/>
      <c r="V11" s="21"/>
      <c r="W11" s="22"/>
      <c r="X11" s="23"/>
      <c r="Z11" s="15"/>
      <c r="AB11" s="15"/>
    </row>
    <row r="12" spans="2:28" ht="15" thickBot="1">
      <c r="B12" s="28">
        <v>8</v>
      </c>
      <c r="C12" s="31">
        <v>0.1</v>
      </c>
      <c r="D12" s="60">
        <v>1000</v>
      </c>
      <c r="E12" s="33">
        <v>0.65</v>
      </c>
      <c r="F12" s="35">
        <v>5</v>
      </c>
      <c r="G12" s="63">
        <f t="shared" ca="1" si="0"/>
        <v>175</v>
      </c>
      <c r="H12" s="64">
        <f t="shared" ca="1" si="1"/>
        <v>0</v>
      </c>
      <c r="J12" s="67" t="s">
        <v>26</v>
      </c>
      <c r="K12" s="69"/>
      <c r="L12" s="5">
        <f t="shared" ca="1" si="3"/>
        <v>5.5000000000000005E-3</v>
      </c>
      <c r="M12">
        <f t="shared" ca="1" si="2"/>
        <v>1650.0000000000002</v>
      </c>
      <c r="N12" s="4" t="e">
        <f ca="1"/>
        <v>#VALUE!</v>
      </c>
      <c r="O12" s="4">
        <f ca="1"/>
        <v>0</v>
      </c>
      <c r="P12" s="13">
        <f ca="1"/>
        <v>0</v>
      </c>
      <c r="Q12" s="1"/>
      <c r="U12" s="20"/>
      <c r="V12" s="21"/>
      <c r="W12" s="22"/>
      <c r="X12" s="23"/>
      <c r="Z12" s="15"/>
      <c r="AB12" s="15"/>
    </row>
    <row r="13" spans="2:28" ht="15" thickBot="1">
      <c r="G13" s="65">
        <f ca="1">SUM(G5:G12)</f>
        <v>1493.75</v>
      </c>
      <c r="H13" s="66">
        <f ca="1">SUM(H5:H12)</f>
        <v>0</v>
      </c>
      <c r="J13" s="48" t="s">
        <v>7</v>
      </c>
      <c r="K13" s="49" t="e">
        <f ca="1">OFFSET(M6,MATCH(1-K4,N6:N506,-1),0,1,1)</f>
        <v>#N/A</v>
      </c>
      <c r="L13" s="5">
        <f t="shared" ca="1" si="3"/>
        <v>6.5000000000000006E-3</v>
      </c>
      <c r="M13">
        <f t="shared" ca="1" si="2"/>
        <v>1950.0000000000002</v>
      </c>
      <c r="N13" s="4" t="e">
        <f ca="1"/>
        <v>#VALUE!</v>
      </c>
      <c r="O13" s="4">
        <f ca="1"/>
        <v>0</v>
      </c>
      <c r="P13" s="13">
        <f ca="1"/>
        <v>0</v>
      </c>
      <c r="S13" s="54">
        <v>5.0000000000000001E-4</v>
      </c>
      <c r="T13" s="26">
        <v>5000</v>
      </c>
      <c r="U13" s="55">
        <v>0.3</v>
      </c>
      <c r="V13" s="56">
        <v>5</v>
      </c>
      <c r="W13" s="22"/>
      <c r="X13" s="23"/>
      <c r="Z13" s="15"/>
      <c r="AB13" s="15"/>
    </row>
    <row r="14" spans="2:28" ht="15" thickBot="1">
      <c r="J14" s="50" t="s">
        <v>27</v>
      </c>
      <c r="K14" s="51">
        <f ca="1">P6</f>
        <v>0</v>
      </c>
      <c r="L14" s="5">
        <f t="shared" ca="1" si="3"/>
        <v>7.5000000000000006E-3</v>
      </c>
      <c r="M14">
        <f t="shared" ca="1" si="2"/>
        <v>2250</v>
      </c>
      <c r="N14" s="4" t="e">
        <f ca="1"/>
        <v>#VALUE!</v>
      </c>
      <c r="O14" s="4">
        <f ca="1"/>
        <v>0</v>
      </c>
      <c r="P14" s="13">
        <f ca="1"/>
        <v>0</v>
      </c>
      <c r="S14" s="57">
        <v>1E-3</v>
      </c>
      <c r="T14" s="23">
        <v>2500</v>
      </c>
      <c r="U14" s="32">
        <v>0.4</v>
      </c>
      <c r="V14" s="43">
        <v>20</v>
      </c>
      <c r="W14" s="24"/>
      <c r="X14" s="23"/>
    </row>
    <row r="15" spans="2:28">
      <c r="B15" t="s">
        <v>18</v>
      </c>
      <c r="C15" t="s">
        <v>6</v>
      </c>
      <c r="D15" t="s">
        <v>4</v>
      </c>
      <c r="E15" t="s">
        <v>5</v>
      </c>
      <c r="F15" t="s">
        <v>8</v>
      </c>
      <c r="G15" t="s">
        <v>1</v>
      </c>
      <c r="H15" t="s">
        <v>10</v>
      </c>
      <c r="I15" s="18"/>
      <c r="L15" s="5">
        <f t="shared" ca="1" si="3"/>
        <v>8.5000000000000006E-3</v>
      </c>
      <c r="M15">
        <f t="shared" ca="1" si="2"/>
        <v>2550</v>
      </c>
      <c r="N15" s="4" t="e">
        <f ca="1"/>
        <v>#VALUE!</v>
      </c>
      <c r="O15" s="4">
        <f ca="1"/>
        <v>0</v>
      </c>
      <c r="P15" s="13">
        <f ca="1"/>
        <v>0</v>
      </c>
      <c r="R15" s="7"/>
      <c r="S15" s="57">
        <v>2E-3</v>
      </c>
      <c r="T15" s="23">
        <v>2500</v>
      </c>
      <c r="U15" s="32">
        <v>0.4</v>
      </c>
      <c r="V15" s="43">
        <v>40</v>
      </c>
      <c r="W15" s="24"/>
      <c r="X15" s="23"/>
    </row>
    <row r="16" spans="2:28">
      <c r="B16">
        <f t="array" aca="1" ref="B16:B175" ca="1">ExpandData(B5:B12,F5:F12)</f>
        <v>1</v>
      </c>
      <c r="C16">
        <f t="array" aca="1" ref="C16:C175" ca="1">ExpandData(D5:D12,F5:F12)</f>
        <v>5000</v>
      </c>
      <c r="D16" s="5">
        <f t="array" aca="1" ref="D16:D175" ca="1">ExpandData(C5:C12,F5:F12)</f>
        <v>5.0000000000000001E-4</v>
      </c>
      <c r="E16" s="2">
        <f t="array" aca="1" ref="E16:E175" ca="1">ExpandData(E5:E12,F5:F12)</f>
        <v>0.3</v>
      </c>
      <c r="F16" s="36">
        <f ca="1">$K$5</f>
        <v>0.2</v>
      </c>
      <c r="G16" s="11">
        <f ca="1">C16*D16*(1-E16)</f>
        <v>1.75</v>
      </c>
      <c r="H16" s="17">
        <f t="shared" ref="H16:H47" ca="1" si="4">P7</f>
        <v>0</v>
      </c>
      <c r="I16" s="18"/>
      <c r="L16" s="5">
        <f t="shared" ca="1" si="3"/>
        <v>9.5000000000000015E-3</v>
      </c>
      <c r="M16">
        <f t="shared" ca="1" si="2"/>
        <v>2850.0000000000005</v>
      </c>
      <c r="N16" s="4" t="e">
        <f ca="1"/>
        <v>#VALUE!</v>
      </c>
      <c r="O16" s="4">
        <f ca="1"/>
        <v>0</v>
      </c>
      <c r="P16" s="13">
        <f ca="1"/>
        <v>0</v>
      </c>
      <c r="S16" s="57">
        <v>0.01</v>
      </c>
      <c r="T16" s="23">
        <v>2500</v>
      </c>
      <c r="U16" s="32">
        <v>0.5</v>
      </c>
      <c r="V16" s="43">
        <v>20</v>
      </c>
      <c r="W16" s="24"/>
      <c r="X16" s="23"/>
    </row>
    <row r="17" spans="2:23">
      <c r="B17">
        <f ca="1"/>
        <v>1</v>
      </c>
      <c r="C17">
        <f ca="1"/>
        <v>5000</v>
      </c>
      <c r="D17" s="5">
        <f ca="1"/>
        <v>5.0000000000000001E-4</v>
      </c>
      <c r="E17" s="2">
        <f ca="1"/>
        <v>0.3</v>
      </c>
      <c r="F17" s="36">
        <f t="shared" ref="F17:F80" ca="1" si="5">$K$5</f>
        <v>0.2</v>
      </c>
      <c r="G17" s="11">
        <f ca="1">C17*D17*(1-E17)</f>
        <v>1.75</v>
      </c>
      <c r="H17" s="17">
        <f t="shared" ca="1" si="4"/>
        <v>0</v>
      </c>
      <c r="I17" s="18"/>
      <c r="L17" s="5">
        <f t="shared" ca="1" si="3"/>
        <v>1.0500000000000002E-2</v>
      </c>
      <c r="M17">
        <f t="shared" ca="1" si="2"/>
        <v>3150.0000000000009</v>
      </c>
      <c r="N17" s="4" t="e">
        <f ca="1"/>
        <v>#VALUE!</v>
      </c>
      <c r="O17" s="4">
        <f ca="1"/>
        <v>0</v>
      </c>
      <c r="P17" s="13">
        <f ca="1"/>
        <v>0</v>
      </c>
      <c r="S17" s="57">
        <v>0.03</v>
      </c>
      <c r="T17" s="23">
        <v>1000</v>
      </c>
      <c r="U17" s="32">
        <v>0.65</v>
      </c>
      <c r="V17" s="43">
        <v>30</v>
      </c>
      <c r="W17" s="5"/>
    </row>
    <row r="18" spans="2:23">
      <c r="B18">
        <f ca="1"/>
        <v>1</v>
      </c>
      <c r="C18">
        <f ca="1"/>
        <v>5000</v>
      </c>
      <c r="D18" s="5">
        <f ca="1"/>
        <v>5.0000000000000001E-4</v>
      </c>
      <c r="E18" s="2">
        <f ca="1"/>
        <v>0.3</v>
      </c>
      <c r="F18" s="36">
        <f t="shared" ca="1" si="5"/>
        <v>0.2</v>
      </c>
      <c r="G18" s="11">
        <f ca="1">C18*D18*(1-E18)</f>
        <v>1.75</v>
      </c>
      <c r="H18" s="17">
        <f t="shared" ca="1" si="4"/>
        <v>0</v>
      </c>
      <c r="I18" s="18"/>
      <c r="L18" s="5">
        <f t="shared" ca="1" si="3"/>
        <v>1.1500000000000003E-2</v>
      </c>
      <c r="M18">
        <f t="shared" ca="1" si="2"/>
        <v>3450.0000000000009</v>
      </c>
      <c r="N18" s="4" t="e">
        <f ca="1"/>
        <v>#VALUE!</v>
      </c>
      <c r="O18" s="4">
        <f ca="1"/>
        <v>0</v>
      </c>
      <c r="P18" s="13">
        <f ca="1"/>
        <v>0</v>
      </c>
      <c r="S18" s="57">
        <v>0.04</v>
      </c>
      <c r="T18" s="23">
        <v>1000</v>
      </c>
      <c r="U18" s="32">
        <v>0.65</v>
      </c>
      <c r="V18" s="43">
        <v>30</v>
      </c>
      <c r="W18" s="5"/>
    </row>
    <row r="19" spans="2:23">
      <c r="B19">
        <f ca="1"/>
        <v>1</v>
      </c>
      <c r="C19">
        <f ca="1"/>
        <v>5000</v>
      </c>
      <c r="D19" s="5">
        <f ca="1"/>
        <v>5.0000000000000001E-4</v>
      </c>
      <c r="E19" s="2">
        <f ca="1"/>
        <v>0.3</v>
      </c>
      <c r="F19" s="36">
        <f t="shared" ca="1" si="5"/>
        <v>0.2</v>
      </c>
      <c r="G19" s="11">
        <f ca="1">C19*D19*(1-E19)</f>
        <v>1.75</v>
      </c>
      <c r="H19" s="17">
        <f t="shared" ca="1" si="4"/>
        <v>0</v>
      </c>
      <c r="I19" s="18"/>
      <c r="L19" s="5">
        <f t="shared" ca="1" si="3"/>
        <v>1.2500000000000004E-2</v>
      </c>
      <c r="M19">
        <f t="shared" ca="1" si="2"/>
        <v>3750.0000000000014</v>
      </c>
      <c r="N19" s="4" t="e">
        <f ca="1"/>
        <v>#VALUE!</v>
      </c>
      <c r="O19" s="4">
        <f ca="1"/>
        <v>0</v>
      </c>
      <c r="P19" s="13">
        <f ca="1"/>
        <v>0</v>
      </c>
      <c r="S19" s="57">
        <v>0.05</v>
      </c>
      <c r="T19" s="23">
        <v>1000</v>
      </c>
      <c r="U19" s="32">
        <v>0.65</v>
      </c>
      <c r="V19" s="43">
        <v>10</v>
      </c>
      <c r="W19" s="5"/>
    </row>
    <row r="20" spans="2:23" ht="15" thickBot="1">
      <c r="B20">
        <f ca="1"/>
        <v>1</v>
      </c>
      <c r="C20">
        <f ca="1"/>
        <v>5000</v>
      </c>
      <c r="D20" s="5">
        <f ca="1"/>
        <v>5.0000000000000001E-4</v>
      </c>
      <c r="E20" s="2">
        <f ca="1"/>
        <v>0.3</v>
      </c>
      <c r="F20" s="36">
        <f t="shared" ca="1" si="5"/>
        <v>0.2</v>
      </c>
      <c r="G20" s="11">
        <f ca="1">C20*D20*(1-E20)</f>
        <v>1.75</v>
      </c>
      <c r="H20" s="17">
        <f t="shared" ca="1" si="4"/>
        <v>0</v>
      </c>
      <c r="I20" s="18"/>
      <c r="L20" s="5">
        <f t="shared" ca="1" si="3"/>
        <v>1.3500000000000005E-2</v>
      </c>
      <c r="M20">
        <f t="shared" ca="1" si="2"/>
        <v>4050.0000000000014</v>
      </c>
      <c r="N20" s="4" t="e">
        <f ca="1"/>
        <v>#VALUE!</v>
      </c>
      <c r="O20" s="4">
        <f ca="1"/>
        <v>0</v>
      </c>
      <c r="P20" s="13">
        <f ca="1"/>
        <v>0</v>
      </c>
      <c r="S20" s="58">
        <v>0.1</v>
      </c>
      <c r="T20" s="29">
        <v>1000</v>
      </c>
      <c r="U20" s="33">
        <v>0.65</v>
      </c>
      <c r="V20" s="44">
        <v>5</v>
      </c>
      <c r="W20" s="5"/>
    </row>
    <row r="21" spans="2:23">
      <c r="B21">
        <f ca="1"/>
        <v>2</v>
      </c>
      <c r="C21">
        <f ca="1"/>
        <v>2500</v>
      </c>
      <c r="D21" s="5">
        <f ca="1"/>
        <v>1E-3</v>
      </c>
      <c r="E21" s="2">
        <f ca="1"/>
        <v>0.4</v>
      </c>
      <c r="F21" s="36">
        <f t="shared" ca="1" si="5"/>
        <v>0.2</v>
      </c>
      <c r="G21" s="11">
        <f t="shared" ref="G21:G80" ca="1" si="6">C21*D21*(1-E21)</f>
        <v>1.5</v>
      </c>
      <c r="H21" s="17">
        <f t="shared" ca="1" si="4"/>
        <v>0</v>
      </c>
      <c r="I21" s="18"/>
      <c r="L21" s="5">
        <f t="shared" ca="1" si="3"/>
        <v>1.4500000000000006E-2</v>
      </c>
      <c r="M21">
        <f t="shared" ca="1" si="2"/>
        <v>4350.0000000000018</v>
      </c>
      <c r="N21" s="4" t="e">
        <f ca="1"/>
        <v>#VALUE!</v>
      </c>
      <c r="O21" s="4">
        <f ca="1"/>
        <v>0</v>
      </c>
      <c r="P21" s="13">
        <f ca="1"/>
        <v>0</v>
      </c>
      <c r="U21" s="1"/>
      <c r="V21" s="2"/>
      <c r="W21" s="5"/>
    </row>
    <row r="22" spans="2:23">
      <c r="B22">
        <f ca="1"/>
        <v>2</v>
      </c>
      <c r="C22">
        <f ca="1"/>
        <v>2500</v>
      </c>
      <c r="D22" s="5">
        <f ca="1"/>
        <v>1E-3</v>
      </c>
      <c r="E22" s="2">
        <f ca="1"/>
        <v>0.4</v>
      </c>
      <c r="F22" s="36">
        <f t="shared" ca="1" si="5"/>
        <v>0.2</v>
      </c>
      <c r="G22" s="11">
        <f t="shared" ca="1" si="6"/>
        <v>1.5</v>
      </c>
      <c r="H22" s="17">
        <f t="shared" ca="1" si="4"/>
        <v>0</v>
      </c>
      <c r="I22" s="18"/>
      <c r="L22" s="5">
        <f t="shared" ca="1" si="3"/>
        <v>1.5500000000000007E-2</v>
      </c>
      <c r="M22">
        <f t="shared" ca="1" si="2"/>
        <v>4650.0000000000018</v>
      </c>
      <c r="N22" s="4" t="e">
        <f ca="1"/>
        <v>#VALUE!</v>
      </c>
      <c r="O22" s="4">
        <f ca="1"/>
        <v>0</v>
      </c>
      <c r="P22" s="13">
        <f ca="1"/>
        <v>0</v>
      </c>
      <c r="U22" s="1"/>
      <c r="V22" s="2"/>
      <c r="W22" s="5"/>
    </row>
    <row r="23" spans="2:23">
      <c r="B23">
        <f ca="1"/>
        <v>2</v>
      </c>
      <c r="C23">
        <f ca="1"/>
        <v>2500</v>
      </c>
      <c r="D23" s="5">
        <f ca="1"/>
        <v>1E-3</v>
      </c>
      <c r="E23" s="2">
        <f ca="1"/>
        <v>0.4</v>
      </c>
      <c r="F23" s="36">
        <f t="shared" ca="1" si="5"/>
        <v>0.2</v>
      </c>
      <c r="G23" s="11">
        <f t="shared" ca="1" si="6"/>
        <v>1.5</v>
      </c>
      <c r="H23" s="17">
        <f t="shared" ca="1" si="4"/>
        <v>0</v>
      </c>
      <c r="I23" s="18"/>
      <c r="L23" s="5">
        <f t="shared" ca="1" si="3"/>
        <v>1.6500000000000008E-2</v>
      </c>
      <c r="M23">
        <f t="shared" ca="1" si="2"/>
        <v>4950.0000000000027</v>
      </c>
      <c r="N23" s="4" t="e">
        <f ca="1"/>
        <v>#VALUE!</v>
      </c>
      <c r="O23" s="4">
        <f ca="1"/>
        <v>0</v>
      </c>
      <c r="P23" s="13">
        <f ca="1"/>
        <v>0</v>
      </c>
      <c r="U23" s="1"/>
      <c r="V23" s="2"/>
      <c r="W23" s="5"/>
    </row>
    <row r="24" spans="2:23">
      <c r="B24">
        <f ca="1"/>
        <v>2</v>
      </c>
      <c r="C24">
        <f ca="1"/>
        <v>2500</v>
      </c>
      <c r="D24" s="5">
        <f ca="1"/>
        <v>1E-3</v>
      </c>
      <c r="E24" s="2">
        <f ca="1"/>
        <v>0.4</v>
      </c>
      <c r="F24" s="36">
        <f t="shared" ca="1" si="5"/>
        <v>0.2</v>
      </c>
      <c r="G24" s="11">
        <f t="shared" ca="1" si="6"/>
        <v>1.5</v>
      </c>
      <c r="H24" s="17">
        <f t="shared" ca="1" si="4"/>
        <v>0</v>
      </c>
      <c r="I24" s="18"/>
      <c r="L24" s="5">
        <f t="shared" ca="1" si="3"/>
        <v>1.7500000000000009E-2</v>
      </c>
      <c r="M24">
        <f t="shared" ca="1" si="2"/>
        <v>5250.0000000000027</v>
      </c>
      <c r="N24" s="4" t="e">
        <f ca="1"/>
        <v>#VALUE!</v>
      </c>
      <c r="O24" s="4">
        <f ca="1"/>
        <v>0</v>
      </c>
      <c r="P24" s="13">
        <f ca="1"/>
        <v>0</v>
      </c>
      <c r="U24" s="1"/>
      <c r="V24" s="2"/>
      <c r="W24" s="5"/>
    </row>
    <row r="25" spans="2:23">
      <c r="B25">
        <f ca="1"/>
        <v>2</v>
      </c>
      <c r="C25">
        <f ca="1"/>
        <v>2500</v>
      </c>
      <c r="D25" s="5">
        <f ca="1"/>
        <v>1E-3</v>
      </c>
      <c r="E25" s="2">
        <f ca="1"/>
        <v>0.4</v>
      </c>
      <c r="F25" s="36">
        <f t="shared" ca="1" si="5"/>
        <v>0.2</v>
      </c>
      <c r="G25" s="11">
        <f t="shared" ca="1" si="6"/>
        <v>1.5</v>
      </c>
      <c r="H25" s="17">
        <f t="shared" ca="1" si="4"/>
        <v>0</v>
      </c>
      <c r="I25" s="18"/>
      <c r="L25" s="5">
        <f t="shared" ca="1" si="3"/>
        <v>1.8500000000000009E-2</v>
      </c>
      <c r="M25">
        <f t="shared" ca="1" si="2"/>
        <v>5550.0000000000027</v>
      </c>
      <c r="N25" s="4" t="e">
        <f ca="1"/>
        <v>#VALUE!</v>
      </c>
      <c r="O25" s="4">
        <f ca="1"/>
        <v>0</v>
      </c>
      <c r="P25" s="13">
        <f ca="1"/>
        <v>0</v>
      </c>
      <c r="U25" s="1"/>
      <c r="V25" s="2"/>
      <c r="W25" s="5"/>
    </row>
    <row r="26" spans="2:23">
      <c r="B26">
        <f ca="1"/>
        <v>2</v>
      </c>
      <c r="C26">
        <f ca="1"/>
        <v>2500</v>
      </c>
      <c r="D26" s="5">
        <f ca="1"/>
        <v>1E-3</v>
      </c>
      <c r="E26" s="2">
        <f ca="1"/>
        <v>0.4</v>
      </c>
      <c r="F26" s="36">
        <f t="shared" ca="1" si="5"/>
        <v>0.2</v>
      </c>
      <c r="G26" s="11">
        <f t="shared" ca="1" si="6"/>
        <v>1.5</v>
      </c>
      <c r="H26" s="17">
        <f t="shared" ca="1" si="4"/>
        <v>0</v>
      </c>
      <c r="I26" s="18"/>
      <c r="L26" s="5">
        <f t="shared" ca="1" si="3"/>
        <v>1.950000000000001E-2</v>
      </c>
      <c r="M26">
        <f t="shared" ca="1" si="2"/>
        <v>5850.0000000000027</v>
      </c>
      <c r="N26" s="4" t="e">
        <f ca="1"/>
        <v>#VALUE!</v>
      </c>
      <c r="O26" s="4">
        <f ca="1"/>
        <v>0</v>
      </c>
      <c r="P26" s="13">
        <f ca="1"/>
        <v>0</v>
      </c>
      <c r="U26" s="1"/>
      <c r="V26" s="2"/>
      <c r="W26" s="5"/>
    </row>
    <row r="27" spans="2:23">
      <c r="B27">
        <f ca="1"/>
        <v>2</v>
      </c>
      <c r="C27">
        <f ca="1"/>
        <v>2500</v>
      </c>
      <c r="D27" s="5">
        <f ca="1"/>
        <v>1E-3</v>
      </c>
      <c r="E27" s="2">
        <f ca="1"/>
        <v>0.4</v>
      </c>
      <c r="F27" s="36">
        <f t="shared" ca="1" si="5"/>
        <v>0.2</v>
      </c>
      <c r="G27" s="11">
        <f t="shared" ca="1" si="6"/>
        <v>1.5</v>
      </c>
      <c r="H27" s="17">
        <f t="shared" ca="1" si="4"/>
        <v>0</v>
      </c>
      <c r="I27" s="18"/>
      <c r="L27" s="5">
        <f t="shared" ca="1" si="3"/>
        <v>2.0500000000000011E-2</v>
      </c>
      <c r="M27">
        <f t="shared" ca="1" si="2"/>
        <v>6150.0000000000036</v>
      </c>
      <c r="N27" s="4" t="e">
        <f ca="1"/>
        <v>#VALUE!</v>
      </c>
      <c r="O27" s="4">
        <f ca="1"/>
        <v>0</v>
      </c>
      <c r="P27" s="13">
        <f ca="1"/>
        <v>0</v>
      </c>
      <c r="U27" s="1"/>
      <c r="V27" s="2"/>
      <c r="W27" s="5"/>
    </row>
    <row r="28" spans="2:23">
      <c r="B28">
        <f ca="1"/>
        <v>2</v>
      </c>
      <c r="C28">
        <f ca="1"/>
        <v>2500</v>
      </c>
      <c r="D28" s="5">
        <f ca="1"/>
        <v>1E-3</v>
      </c>
      <c r="E28" s="2">
        <f ca="1"/>
        <v>0.4</v>
      </c>
      <c r="F28" s="36">
        <f t="shared" ca="1" si="5"/>
        <v>0.2</v>
      </c>
      <c r="G28" s="11">
        <f t="shared" ca="1" si="6"/>
        <v>1.5</v>
      </c>
      <c r="H28" s="17">
        <f t="shared" ca="1" si="4"/>
        <v>0</v>
      </c>
      <c r="I28" s="18"/>
      <c r="L28" s="5">
        <f t="shared" ca="1" si="3"/>
        <v>2.1500000000000012E-2</v>
      </c>
      <c r="M28">
        <f t="shared" ca="1" si="2"/>
        <v>6450.0000000000036</v>
      </c>
      <c r="N28" s="4" t="e">
        <f ca="1"/>
        <v>#VALUE!</v>
      </c>
      <c r="O28" s="4">
        <f ca="1"/>
        <v>0</v>
      </c>
      <c r="P28" s="13">
        <f ca="1"/>
        <v>0</v>
      </c>
      <c r="U28" s="1"/>
      <c r="V28" s="2"/>
      <c r="W28" s="5"/>
    </row>
    <row r="29" spans="2:23">
      <c r="B29">
        <f ca="1"/>
        <v>2</v>
      </c>
      <c r="C29">
        <f ca="1"/>
        <v>2500</v>
      </c>
      <c r="D29" s="5">
        <f ca="1"/>
        <v>1E-3</v>
      </c>
      <c r="E29" s="2">
        <f ca="1"/>
        <v>0.4</v>
      </c>
      <c r="F29" s="36">
        <f t="shared" ca="1" si="5"/>
        <v>0.2</v>
      </c>
      <c r="G29" s="11">
        <f t="shared" ca="1" si="6"/>
        <v>1.5</v>
      </c>
      <c r="H29" s="17">
        <f t="shared" ca="1" si="4"/>
        <v>0</v>
      </c>
      <c r="I29" s="18"/>
      <c r="L29" s="5">
        <f t="shared" ca="1" si="3"/>
        <v>2.2500000000000013E-2</v>
      </c>
      <c r="M29">
        <f t="shared" ca="1" si="2"/>
        <v>6750.0000000000036</v>
      </c>
      <c r="N29" s="4" t="e">
        <f ca="1"/>
        <v>#VALUE!</v>
      </c>
      <c r="O29" s="4">
        <f ca="1"/>
        <v>0</v>
      </c>
      <c r="P29" s="13">
        <f ca="1"/>
        <v>0</v>
      </c>
      <c r="U29" s="1"/>
      <c r="V29" s="2"/>
      <c r="W29" s="5"/>
    </row>
    <row r="30" spans="2:23">
      <c r="B30">
        <f ca="1"/>
        <v>2</v>
      </c>
      <c r="C30">
        <f ca="1"/>
        <v>2500</v>
      </c>
      <c r="D30" s="5">
        <f ca="1"/>
        <v>1E-3</v>
      </c>
      <c r="E30" s="2">
        <f ca="1"/>
        <v>0.4</v>
      </c>
      <c r="F30" s="36">
        <f t="shared" ca="1" si="5"/>
        <v>0.2</v>
      </c>
      <c r="G30" s="11">
        <f t="shared" ca="1" si="6"/>
        <v>1.5</v>
      </c>
      <c r="H30" s="17">
        <f t="shared" ca="1" si="4"/>
        <v>0</v>
      </c>
      <c r="I30" s="18"/>
      <c r="L30" s="5">
        <f t="shared" ca="1" si="3"/>
        <v>2.3500000000000014E-2</v>
      </c>
      <c r="M30">
        <f t="shared" ca="1" si="2"/>
        <v>7050.0000000000045</v>
      </c>
      <c r="N30" s="4" t="e">
        <f ca="1"/>
        <v>#VALUE!</v>
      </c>
      <c r="O30" s="4">
        <f ca="1"/>
        <v>0</v>
      </c>
      <c r="P30" s="13">
        <f ca="1"/>
        <v>0</v>
      </c>
      <c r="U30" s="1"/>
      <c r="V30" s="2"/>
      <c r="W30" s="5"/>
    </row>
    <row r="31" spans="2:23">
      <c r="B31">
        <f ca="1"/>
        <v>2</v>
      </c>
      <c r="C31">
        <f ca="1"/>
        <v>2500</v>
      </c>
      <c r="D31" s="5">
        <f ca="1"/>
        <v>1E-3</v>
      </c>
      <c r="E31" s="2">
        <f ca="1"/>
        <v>0.4</v>
      </c>
      <c r="F31" s="36">
        <f t="shared" ca="1" si="5"/>
        <v>0.2</v>
      </c>
      <c r="G31" s="11">
        <f t="shared" ca="1" si="6"/>
        <v>1.5</v>
      </c>
      <c r="H31" s="17">
        <f t="shared" ca="1" si="4"/>
        <v>0</v>
      </c>
      <c r="I31" s="18"/>
      <c r="L31" s="5">
        <f t="shared" ca="1" si="3"/>
        <v>2.4500000000000015E-2</v>
      </c>
      <c r="M31">
        <f t="shared" ca="1" si="2"/>
        <v>7350.0000000000045</v>
      </c>
      <c r="N31" s="4" t="e">
        <f ca="1"/>
        <v>#VALUE!</v>
      </c>
      <c r="O31" s="4">
        <f ca="1"/>
        <v>0</v>
      </c>
      <c r="P31" s="13">
        <f ca="1"/>
        <v>0</v>
      </c>
      <c r="U31" s="1"/>
      <c r="V31" s="2"/>
      <c r="W31" s="5"/>
    </row>
    <row r="32" spans="2:23">
      <c r="B32">
        <f ca="1"/>
        <v>2</v>
      </c>
      <c r="C32">
        <f ca="1"/>
        <v>2500</v>
      </c>
      <c r="D32" s="5">
        <f ca="1"/>
        <v>1E-3</v>
      </c>
      <c r="E32" s="2">
        <f ca="1"/>
        <v>0.4</v>
      </c>
      <c r="F32" s="36">
        <f t="shared" ca="1" si="5"/>
        <v>0.2</v>
      </c>
      <c r="G32" s="11">
        <f t="shared" ca="1" si="6"/>
        <v>1.5</v>
      </c>
      <c r="H32" s="17">
        <f t="shared" ca="1" si="4"/>
        <v>0</v>
      </c>
      <c r="I32" s="18"/>
      <c r="L32" s="5">
        <f t="shared" ca="1" si="3"/>
        <v>2.5500000000000016E-2</v>
      </c>
      <c r="M32">
        <f t="shared" ca="1" si="2"/>
        <v>7650.0000000000045</v>
      </c>
      <c r="N32" s="4" t="e">
        <f ca="1"/>
        <v>#VALUE!</v>
      </c>
      <c r="O32" s="4">
        <f ca="1"/>
        <v>0</v>
      </c>
      <c r="P32" s="13">
        <f ca="1"/>
        <v>0</v>
      </c>
      <c r="U32" s="1"/>
      <c r="V32" s="2"/>
      <c r="W32" s="5"/>
    </row>
    <row r="33" spans="2:23">
      <c r="B33">
        <f ca="1"/>
        <v>2</v>
      </c>
      <c r="C33">
        <f ca="1"/>
        <v>2500</v>
      </c>
      <c r="D33" s="5">
        <f ca="1"/>
        <v>1E-3</v>
      </c>
      <c r="E33" s="2">
        <f ca="1"/>
        <v>0.4</v>
      </c>
      <c r="F33" s="36">
        <f t="shared" ca="1" si="5"/>
        <v>0.2</v>
      </c>
      <c r="G33" s="11">
        <f t="shared" ca="1" si="6"/>
        <v>1.5</v>
      </c>
      <c r="H33" s="17">
        <f t="shared" ca="1" si="4"/>
        <v>0</v>
      </c>
      <c r="I33" s="18"/>
      <c r="L33" s="5">
        <f t="shared" ca="1" si="3"/>
        <v>2.6500000000000017E-2</v>
      </c>
      <c r="M33">
        <f t="shared" ca="1" si="2"/>
        <v>7950.0000000000045</v>
      </c>
      <c r="N33" s="4" t="e">
        <f ca="1"/>
        <v>#VALUE!</v>
      </c>
      <c r="O33" s="4">
        <f ca="1"/>
        <v>0</v>
      </c>
      <c r="P33" s="13">
        <f ca="1"/>
        <v>0</v>
      </c>
      <c r="U33" s="1"/>
      <c r="V33" s="2"/>
      <c r="W33" s="5"/>
    </row>
    <row r="34" spans="2:23">
      <c r="B34">
        <f ca="1"/>
        <v>2</v>
      </c>
      <c r="C34">
        <f ca="1"/>
        <v>2500</v>
      </c>
      <c r="D34" s="5">
        <f ca="1"/>
        <v>1E-3</v>
      </c>
      <c r="E34" s="2">
        <f ca="1"/>
        <v>0.4</v>
      </c>
      <c r="F34" s="36">
        <f t="shared" ca="1" si="5"/>
        <v>0.2</v>
      </c>
      <c r="G34" s="11">
        <f t="shared" ca="1" si="6"/>
        <v>1.5</v>
      </c>
      <c r="H34" s="17">
        <f t="shared" ca="1" si="4"/>
        <v>0</v>
      </c>
      <c r="I34" s="18"/>
      <c r="L34" s="5">
        <f t="shared" ca="1" si="3"/>
        <v>2.7500000000000017E-2</v>
      </c>
      <c r="M34">
        <f t="shared" ca="1" si="2"/>
        <v>8250.0000000000055</v>
      </c>
      <c r="N34" s="4" t="e">
        <f ca="1"/>
        <v>#VALUE!</v>
      </c>
      <c r="O34" s="4">
        <f ca="1"/>
        <v>0</v>
      </c>
      <c r="P34" s="13">
        <f ca="1"/>
        <v>0</v>
      </c>
      <c r="U34" s="1"/>
      <c r="V34" s="2"/>
      <c r="W34" s="5"/>
    </row>
    <row r="35" spans="2:23">
      <c r="B35">
        <f ca="1"/>
        <v>2</v>
      </c>
      <c r="C35">
        <f ca="1"/>
        <v>2500</v>
      </c>
      <c r="D35" s="5">
        <f ca="1"/>
        <v>1E-3</v>
      </c>
      <c r="E35" s="2">
        <f ca="1"/>
        <v>0.4</v>
      </c>
      <c r="F35" s="36">
        <f t="shared" ca="1" si="5"/>
        <v>0.2</v>
      </c>
      <c r="G35" s="11">
        <f t="shared" ca="1" si="6"/>
        <v>1.5</v>
      </c>
      <c r="H35" s="17">
        <f t="shared" ca="1" si="4"/>
        <v>0</v>
      </c>
      <c r="I35" s="18"/>
      <c r="L35" s="5">
        <f t="shared" ca="1" si="3"/>
        <v>2.8500000000000018E-2</v>
      </c>
      <c r="M35">
        <f t="shared" ca="1" si="2"/>
        <v>8550.0000000000055</v>
      </c>
      <c r="N35" s="4" t="e">
        <f ca="1"/>
        <v>#VALUE!</v>
      </c>
      <c r="O35" s="4">
        <f ca="1"/>
        <v>0</v>
      </c>
      <c r="P35" s="13">
        <f ca="1"/>
        <v>0</v>
      </c>
      <c r="U35" s="1"/>
      <c r="V35" s="2"/>
      <c r="W35" s="5"/>
    </row>
    <row r="36" spans="2:23">
      <c r="B36">
        <f ca="1"/>
        <v>2</v>
      </c>
      <c r="C36">
        <f ca="1"/>
        <v>2500</v>
      </c>
      <c r="D36" s="5">
        <f ca="1"/>
        <v>1E-3</v>
      </c>
      <c r="E36" s="2">
        <f ca="1"/>
        <v>0.4</v>
      </c>
      <c r="F36" s="36">
        <f t="shared" ca="1" si="5"/>
        <v>0.2</v>
      </c>
      <c r="G36" s="11">
        <f t="shared" ca="1" si="6"/>
        <v>1.5</v>
      </c>
      <c r="H36" s="17">
        <f t="shared" ca="1" si="4"/>
        <v>0</v>
      </c>
      <c r="I36" s="18"/>
      <c r="L36" s="5">
        <f t="shared" ca="1" si="3"/>
        <v>2.9500000000000019E-2</v>
      </c>
      <c r="M36">
        <f t="shared" ca="1" si="2"/>
        <v>8850.0000000000055</v>
      </c>
      <c r="N36" s="4" t="e">
        <f ca="1"/>
        <v>#VALUE!</v>
      </c>
      <c r="O36" s="4">
        <f ca="1"/>
        <v>0</v>
      </c>
      <c r="P36" s="13">
        <f ca="1"/>
        <v>0</v>
      </c>
      <c r="U36" s="1"/>
      <c r="V36" s="2"/>
      <c r="W36" s="5"/>
    </row>
    <row r="37" spans="2:23">
      <c r="B37">
        <f ca="1"/>
        <v>2</v>
      </c>
      <c r="C37">
        <f ca="1"/>
        <v>2500</v>
      </c>
      <c r="D37" s="5">
        <f ca="1"/>
        <v>1E-3</v>
      </c>
      <c r="E37" s="2">
        <f ca="1"/>
        <v>0.4</v>
      </c>
      <c r="F37" s="36">
        <f t="shared" ca="1" si="5"/>
        <v>0.2</v>
      </c>
      <c r="G37" s="11">
        <f t="shared" ca="1" si="6"/>
        <v>1.5</v>
      </c>
      <c r="H37" s="17">
        <f t="shared" ca="1" si="4"/>
        <v>0</v>
      </c>
      <c r="I37" s="18"/>
      <c r="L37" s="5">
        <f t="shared" ca="1" si="3"/>
        <v>3.050000000000002E-2</v>
      </c>
      <c r="M37">
        <f t="shared" ca="1" si="2"/>
        <v>9150.0000000000055</v>
      </c>
      <c r="N37" s="4" t="e">
        <f ca="1"/>
        <v>#VALUE!</v>
      </c>
      <c r="O37" s="4">
        <f ca="1"/>
        <v>0</v>
      </c>
      <c r="P37" s="13">
        <f ca="1"/>
        <v>0</v>
      </c>
      <c r="U37" s="1"/>
      <c r="V37" s="2"/>
      <c r="W37" s="5"/>
    </row>
    <row r="38" spans="2:23">
      <c r="B38">
        <f ca="1"/>
        <v>2</v>
      </c>
      <c r="C38">
        <f ca="1"/>
        <v>2500</v>
      </c>
      <c r="D38" s="5">
        <f ca="1"/>
        <v>1E-3</v>
      </c>
      <c r="E38" s="2">
        <f ca="1"/>
        <v>0.4</v>
      </c>
      <c r="F38" s="36">
        <f t="shared" ca="1" si="5"/>
        <v>0.2</v>
      </c>
      <c r="G38" s="11">
        <f t="shared" ca="1" si="6"/>
        <v>1.5</v>
      </c>
      <c r="H38" s="17">
        <f t="shared" ca="1" si="4"/>
        <v>0</v>
      </c>
      <c r="I38" s="18"/>
      <c r="L38" s="5">
        <f t="shared" ca="1" si="3"/>
        <v>3.1500000000000021E-2</v>
      </c>
      <c r="M38">
        <f t="shared" ca="1" si="2"/>
        <v>9450.0000000000055</v>
      </c>
      <c r="N38" s="4" t="e">
        <f ca="1"/>
        <v>#VALUE!</v>
      </c>
      <c r="O38" s="4">
        <f ca="1"/>
        <v>0</v>
      </c>
      <c r="P38" s="13">
        <f ca="1"/>
        <v>0</v>
      </c>
      <c r="U38" s="1"/>
      <c r="V38" s="2"/>
      <c r="W38" s="5"/>
    </row>
    <row r="39" spans="2:23">
      <c r="B39">
        <f ca="1"/>
        <v>2</v>
      </c>
      <c r="C39">
        <f ca="1"/>
        <v>2500</v>
      </c>
      <c r="D39" s="5">
        <f ca="1"/>
        <v>1E-3</v>
      </c>
      <c r="E39" s="2">
        <f ca="1"/>
        <v>0.4</v>
      </c>
      <c r="F39" s="36">
        <f t="shared" ca="1" si="5"/>
        <v>0.2</v>
      </c>
      <c r="G39" s="11">
        <f t="shared" ca="1" si="6"/>
        <v>1.5</v>
      </c>
      <c r="H39" s="17">
        <f t="shared" ca="1" si="4"/>
        <v>0</v>
      </c>
      <c r="I39" s="18"/>
      <c r="L39" s="5">
        <f t="shared" ca="1" si="3"/>
        <v>3.2500000000000022E-2</v>
      </c>
      <c r="M39">
        <f t="shared" ca="1" si="2"/>
        <v>9750.0000000000073</v>
      </c>
      <c r="N39" s="4" t="e">
        <f ca="1"/>
        <v>#VALUE!</v>
      </c>
      <c r="O39" s="4">
        <f ca="1"/>
        <v>0</v>
      </c>
      <c r="P39" s="13">
        <f ca="1"/>
        <v>0</v>
      </c>
      <c r="U39" s="1"/>
      <c r="V39" s="2"/>
      <c r="W39" s="5"/>
    </row>
    <row r="40" spans="2:23">
      <c r="B40">
        <f ca="1"/>
        <v>2</v>
      </c>
      <c r="C40">
        <f ca="1"/>
        <v>2500</v>
      </c>
      <c r="D40" s="5">
        <f ca="1"/>
        <v>1E-3</v>
      </c>
      <c r="E40" s="2">
        <f ca="1"/>
        <v>0.4</v>
      </c>
      <c r="F40" s="36">
        <f t="shared" ca="1" si="5"/>
        <v>0.2</v>
      </c>
      <c r="G40" s="11">
        <f t="shared" ca="1" si="6"/>
        <v>1.5</v>
      </c>
      <c r="H40" s="17">
        <f t="shared" ca="1" si="4"/>
        <v>0</v>
      </c>
      <c r="I40" s="18"/>
      <c r="L40" s="5">
        <f t="shared" ca="1" si="3"/>
        <v>3.3500000000000023E-2</v>
      </c>
      <c r="M40">
        <f t="shared" ca="1" si="2"/>
        <v>10050.000000000007</v>
      </c>
      <c r="N40" s="4" t="e">
        <f ca="1"/>
        <v>#VALUE!</v>
      </c>
      <c r="O40" s="4">
        <f ca="1"/>
        <v>0</v>
      </c>
      <c r="P40" s="13">
        <f ca="1"/>
        <v>0</v>
      </c>
      <c r="U40" s="1"/>
      <c r="V40" s="2"/>
      <c r="W40" s="5"/>
    </row>
    <row r="41" spans="2:23">
      <c r="B41">
        <f ca="1"/>
        <v>3</v>
      </c>
      <c r="C41">
        <f ca="1"/>
        <v>2500</v>
      </c>
      <c r="D41" s="5">
        <f ca="1"/>
        <v>2E-3</v>
      </c>
      <c r="E41" s="2">
        <f ca="1"/>
        <v>0.4</v>
      </c>
      <c r="F41" s="36">
        <f t="shared" ca="1" si="5"/>
        <v>0.2</v>
      </c>
      <c r="G41" s="11">
        <f t="shared" ca="1" si="6"/>
        <v>3</v>
      </c>
      <c r="H41" s="17">
        <f t="shared" ca="1" si="4"/>
        <v>0</v>
      </c>
      <c r="I41" s="18"/>
      <c r="L41" s="5">
        <f t="shared" ca="1" si="3"/>
        <v>3.4500000000000024E-2</v>
      </c>
      <c r="M41">
        <f t="shared" ca="1" si="2"/>
        <v>10350.000000000007</v>
      </c>
      <c r="N41" s="4" t="e">
        <f ca="1"/>
        <v>#VALUE!</v>
      </c>
      <c r="O41" s="4">
        <f ca="1"/>
        <v>0</v>
      </c>
      <c r="P41" s="13">
        <f ca="1"/>
        <v>0</v>
      </c>
      <c r="U41" s="1"/>
      <c r="V41" s="2"/>
      <c r="W41" s="5"/>
    </row>
    <row r="42" spans="2:23">
      <c r="B42">
        <f ca="1"/>
        <v>3</v>
      </c>
      <c r="C42">
        <f ca="1"/>
        <v>2500</v>
      </c>
      <c r="D42" s="5">
        <f ca="1"/>
        <v>2E-3</v>
      </c>
      <c r="E42" s="2">
        <f ca="1"/>
        <v>0.4</v>
      </c>
      <c r="F42" s="36">
        <f t="shared" ca="1" si="5"/>
        <v>0.2</v>
      </c>
      <c r="G42" s="11">
        <f t="shared" ca="1" si="6"/>
        <v>3</v>
      </c>
      <c r="H42" s="17">
        <f t="shared" ca="1" si="4"/>
        <v>0</v>
      </c>
      <c r="I42" s="18"/>
      <c r="L42" s="5">
        <f t="shared" ca="1" si="3"/>
        <v>3.5500000000000025E-2</v>
      </c>
      <c r="M42">
        <f t="shared" ca="1" si="2"/>
        <v>10650.000000000007</v>
      </c>
      <c r="N42" s="4" t="e">
        <f ca="1"/>
        <v>#VALUE!</v>
      </c>
      <c r="O42" s="4">
        <f ca="1"/>
        <v>0</v>
      </c>
      <c r="P42" s="13">
        <f ca="1"/>
        <v>0</v>
      </c>
      <c r="U42" s="1"/>
      <c r="V42" s="2"/>
      <c r="W42" s="5"/>
    </row>
    <row r="43" spans="2:23">
      <c r="B43">
        <f ca="1"/>
        <v>3</v>
      </c>
      <c r="C43">
        <f ca="1"/>
        <v>2500</v>
      </c>
      <c r="D43" s="5">
        <f ca="1"/>
        <v>2E-3</v>
      </c>
      <c r="E43" s="2">
        <f ca="1"/>
        <v>0.4</v>
      </c>
      <c r="F43" s="36">
        <f t="shared" ca="1" si="5"/>
        <v>0.2</v>
      </c>
      <c r="G43" s="11">
        <f t="shared" ca="1" si="6"/>
        <v>3</v>
      </c>
      <c r="H43" s="17">
        <f t="shared" ca="1" si="4"/>
        <v>0</v>
      </c>
      <c r="I43" s="18"/>
      <c r="L43" s="5">
        <f t="shared" ca="1" si="3"/>
        <v>3.6500000000000025E-2</v>
      </c>
      <c r="M43">
        <f t="shared" ca="1" si="2"/>
        <v>10950.000000000007</v>
      </c>
      <c r="N43" s="4" t="e">
        <f ca="1"/>
        <v>#VALUE!</v>
      </c>
      <c r="O43" s="4">
        <f ca="1"/>
        <v>0</v>
      </c>
      <c r="P43" s="13">
        <f ca="1"/>
        <v>0</v>
      </c>
      <c r="U43" s="1"/>
      <c r="V43" s="2"/>
      <c r="W43" s="5"/>
    </row>
    <row r="44" spans="2:23">
      <c r="B44">
        <f ca="1"/>
        <v>3</v>
      </c>
      <c r="C44">
        <f ca="1"/>
        <v>2500</v>
      </c>
      <c r="D44" s="5">
        <f ca="1"/>
        <v>2E-3</v>
      </c>
      <c r="E44" s="2">
        <f ca="1"/>
        <v>0.4</v>
      </c>
      <c r="F44" s="36">
        <f t="shared" ca="1" si="5"/>
        <v>0.2</v>
      </c>
      <c r="G44" s="11">
        <f t="shared" ca="1" si="6"/>
        <v>3</v>
      </c>
      <c r="H44" s="17">
        <f t="shared" ca="1" si="4"/>
        <v>0</v>
      </c>
      <c r="I44" s="18"/>
      <c r="L44" s="5">
        <f t="shared" ca="1" si="3"/>
        <v>3.7500000000000026E-2</v>
      </c>
      <c r="M44">
        <f t="shared" ca="1" si="2"/>
        <v>11250.000000000007</v>
      </c>
      <c r="N44" s="4" t="e">
        <f ca="1"/>
        <v>#VALUE!</v>
      </c>
      <c r="O44" s="4">
        <f ca="1"/>
        <v>0</v>
      </c>
      <c r="P44" s="13">
        <f ca="1"/>
        <v>0</v>
      </c>
      <c r="U44" s="1"/>
      <c r="V44" s="2"/>
      <c r="W44" s="5"/>
    </row>
    <row r="45" spans="2:23">
      <c r="B45">
        <f ca="1"/>
        <v>3</v>
      </c>
      <c r="C45">
        <f ca="1"/>
        <v>2500</v>
      </c>
      <c r="D45" s="5">
        <f ca="1"/>
        <v>2E-3</v>
      </c>
      <c r="E45" s="2">
        <f ca="1"/>
        <v>0.4</v>
      </c>
      <c r="F45" s="36">
        <f t="shared" ca="1" si="5"/>
        <v>0.2</v>
      </c>
      <c r="G45" s="11">
        <f t="shared" ca="1" si="6"/>
        <v>3</v>
      </c>
      <c r="H45" s="17">
        <f t="shared" ca="1" si="4"/>
        <v>0</v>
      </c>
      <c r="I45" s="18"/>
      <c r="L45" s="5">
        <f t="shared" ca="1" si="3"/>
        <v>3.8500000000000027E-2</v>
      </c>
      <c r="M45">
        <f t="shared" ca="1" si="2"/>
        <v>11550.000000000007</v>
      </c>
      <c r="N45" s="4" t="e">
        <f ca="1"/>
        <v>#VALUE!</v>
      </c>
      <c r="O45" s="4">
        <f ca="1"/>
        <v>0</v>
      </c>
      <c r="P45" s="13">
        <f ca="1"/>
        <v>0</v>
      </c>
      <c r="U45" s="1"/>
      <c r="V45" s="2"/>
      <c r="W45" s="5"/>
    </row>
    <row r="46" spans="2:23">
      <c r="B46">
        <f ca="1"/>
        <v>3</v>
      </c>
      <c r="C46">
        <f ca="1"/>
        <v>2500</v>
      </c>
      <c r="D46" s="5">
        <f ca="1"/>
        <v>2E-3</v>
      </c>
      <c r="E46" s="2">
        <f ca="1"/>
        <v>0.4</v>
      </c>
      <c r="F46" s="36">
        <f t="shared" ca="1" si="5"/>
        <v>0.2</v>
      </c>
      <c r="G46" s="11">
        <f t="shared" ca="1" si="6"/>
        <v>3</v>
      </c>
      <c r="H46" s="17">
        <f t="shared" ca="1" si="4"/>
        <v>0</v>
      </c>
      <c r="I46" s="18"/>
      <c r="L46" s="5">
        <f t="shared" ca="1" si="3"/>
        <v>3.9500000000000028E-2</v>
      </c>
      <c r="M46">
        <f t="shared" ca="1" si="2"/>
        <v>11850.000000000009</v>
      </c>
      <c r="N46" s="4" t="e">
        <f ca="1"/>
        <v>#VALUE!</v>
      </c>
      <c r="O46" s="4">
        <f ca="1"/>
        <v>0</v>
      </c>
      <c r="P46" s="13">
        <f ca="1"/>
        <v>0</v>
      </c>
      <c r="U46" s="1"/>
      <c r="V46" s="2"/>
      <c r="W46" s="5"/>
    </row>
    <row r="47" spans="2:23">
      <c r="B47">
        <f ca="1"/>
        <v>3</v>
      </c>
      <c r="C47">
        <f ca="1"/>
        <v>2500</v>
      </c>
      <c r="D47" s="5">
        <f ca="1"/>
        <v>2E-3</v>
      </c>
      <c r="E47" s="2">
        <f ca="1"/>
        <v>0.4</v>
      </c>
      <c r="F47" s="36">
        <f t="shared" ca="1" si="5"/>
        <v>0.2</v>
      </c>
      <c r="G47" s="11">
        <f t="shared" ca="1" si="6"/>
        <v>3</v>
      </c>
      <c r="H47" s="17">
        <f t="shared" ca="1" si="4"/>
        <v>0</v>
      </c>
      <c r="I47" s="18"/>
      <c r="L47" s="5">
        <f t="shared" ca="1" si="3"/>
        <v>4.0500000000000029E-2</v>
      </c>
      <c r="M47">
        <f t="shared" ca="1" si="2"/>
        <v>12150.000000000009</v>
      </c>
      <c r="N47" s="4" t="e">
        <f ca="1"/>
        <v>#VALUE!</v>
      </c>
      <c r="O47" s="4">
        <f ca="1"/>
        <v>0</v>
      </c>
      <c r="P47" s="13">
        <f ca="1"/>
        <v>0</v>
      </c>
      <c r="U47" s="1"/>
      <c r="V47" s="2"/>
      <c r="W47" s="5"/>
    </row>
    <row r="48" spans="2:23">
      <c r="B48">
        <f ca="1"/>
        <v>3</v>
      </c>
      <c r="C48">
        <f ca="1"/>
        <v>2500</v>
      </c>
      <c r="D48" s="5">
        <f ca="1"/>
        <v>2E-3</v>
      </c>
      <c r="E48" s="2">
        <f ca="1"/>
        <v>0.4</v>
      </c>
      <c r="F48" s="36">
        <f t="shared" ca="1" si="5"/>
        <v>0.2</v>
      </c>
      <c r="G48" s="11">
        <f t="shared" ca="1" si="6"/>
        <v>3</v>
      </c>
      <c r="H48" s="17">
        <f t="shared" ref="H48:H79" ca="1" si="7">P39</f>
        <v>0</v>
      </c>
      <c r="I48" s="18"/>
      <c r="L48" s="5">
        <f t="shared" ca="1" si="3"/>
        <v>4.150000000000003E-2</v>
      </c>
      <c r="M48">
        <f t="shared" ca="1" si="2"/>
        <v>12450.000000000009</v>
      </c>
      <c r="N48" s="4" t="e">
        <f ca="1"/>
        <v>#VALUE!</v>
      </c>
      <c r="O48" s="4">
        <f ca="1"/>
        <v>0</v>
      </c>
      <c r="P48" s="13">
        <f ca="1"/>
        <v>0</v>
      </c>
      <c r="U48" s="1"/>
      <c r="V48" s="2"/>
      <c r="W48" s="5"/>
    </row>
    <row r="49" spans="2:23">
      <c r="B49">
        <f ca="1"/>
        <v>3</v>
      </c>
      <c r="C49">
        <f ca="1"/>
        <v>2500</v>
      </c>
      <c r="D49" s="5">
        <f ca="1"/>
        <v>2E-3</v>
      </c>
      <c r="E49" s="2">
        <f ca="1"/>
        <v>0.4</v>
      </c>
      <c r="F49" s="36">
        <f t="shared" ca="1" si="5"/>
        <v>0.2</v>
      </c>
      <c r="G49" s="11">
        <f t="shared" ca="1" si="6"/>
        <v>3</v>
      </c>
      <c r="H49" s="17">
        <f t="shared" ca="1" si="7"/>
        <v>0</v>
      </c>
      <c r="I49" s="18"/>
      <c r="L49" s="5">
        <f t="shared" ca="1" si="3"/>
        <v>4.2500000000000031E-2</v>
      </c>
      <c r="M49">
        <f t="shared" ca="1" si="2"/>
        <v>12750.000000000009</v>
      </c>
      <c r="N49" s="4" t="e">
        <f ca="1"/>
        <v>#VALUE!</v>
      </c>
      <c r="O49" s="4">
        <f ca="1"/>
        <v>0</v>
      </c>
      <c r="P49" s="13">
        <f ca="1"/>
        <v>0</v>
      </c>
      <c r="U49" s="1"/>
      <c r="V49" s="2"/>
      <c r="W49" s="5"/>
    </row>
    <row r="50" spans="2:23">
      <c r="B50">
        <f ca="1"/>
        <v>3</v>
      </c>
      <c r="C50">
        <f ca="1"/>
        <v>2500</v>
      </c>
      <c r="D50" s="5">
        <f ca="1"/>
        <v>2E-3</v>
      </c>
      <c r="E50" s="2">
        <f ca="1"/>
        <v>0.4</v>
      </c>
      <c r="F50" s="36">
        <f t="shared" ca="1" si="5"/>
        <v>0.2</v>
      </c>
      <c r="G50" s="11">
        <f t="shared" ca="1" si="6"/>
        <v>3</v>
      </c>
      <c r="H50" s="17">
        <f t="shared" ca="1" si="7"/>
        <v>0</v>
      </c>
      <c r="I50" s="18"/>
      <c r="L50" s="5">
        <f t="shared" ca="1" si="3"/>
        <v>4.3500000000000032E-2</v>
      </c>
      <c r="M50">
        <f t="shared" ca="1" si="2"/>
        <v>13050.000000000009</v>
      </c>
      <c r="N50" s="4" t="e">
        <f ca="1"/>
        <v>#VALUE!</v>
      </c>
      <c r="O50" s="4">
        <f ca="1"/>
        <v>0</v>
      </c>
      <c r="P50" s="13">
        <f ca="1"/>
        <v>0</v>
      </c>
      <c r="U50" s="1"/>
      <c r="V50" s="2"/>
      <c r="W50" s="5"/>
    </row>
    <row r="51" spans="2:23">
      <c r="B51">
        <f ca="1"/>
        <v>3</v>
      </c>
      <c r="C51">
        <f ca="1"/>
        <v>2500</v>
      </c>
      <c r="D51" s="5">
        <f ca="1"/>
        <v>2E-3</v>
      </c>
      <c r="E51" s="2">
        <f ca="1"/>
        <v>0.4</v>
      </c>
      <c r="F51" s="36">
        <f t="shared" ca="1" si="5"/>
        <v>0.2</v>
      </c>
      <c r="G51" s="11">
        <f t="shared" ca="1" si="6"/>
        <v>3</v>
      </c>
      <c r="H51" s="17">
        <f t="shared" ca="1" si="7"/>
        <v>0</v>
      </c>
      <c r="I51" s="18"/>
      <c r="L51" s="5">
        <f t="shared" ca="1" si="3"/>
        <v>4.4500000000000033E-2</v>
      </c>
      <c r="M51">
        <f t="shared" ca="1" si="2"/>
        <v>13350.000000000009</v>
      </c>
      <c r="N51" s="4" t="e">
        <f ca="1"/>
        <v>#VALUE!</v>
      </c>
      <c r="O51" s="4">
        <f ca="1"/>
        <v>0</v>
      </c>
      <c r="P51" s="13">
        <f ca="1"/>
        <v>0</v>
      </c>
      <c r="U51" s="1"/>
      <c r="V51" s="2"/>
      <c r="W51" s="5"/>
    </row>
    <row r="52" spans="2:23">
      <c r="B52">
        <f ca="1"/>
        <v>3</v>
      </c>
      <c r="C52">
        <f ca="1"/>
        <v>2500</v>
      </c>
      <c r="D52" s="5">
        <f ca="1"/>
        <v>2E-3</v>
      </c>
      <c r="E52" s="2">
        <f ca="1"/>
        <v>0.4</v>
      </c>
      <c r="F52" s="36">
        <f t="shared" ca="1" si="5"/>
        <v>0.2</v>
      </c>
      <c r="G52" s="11">
        <f t="shared" ca="1" si="6"/>
        <v>3</v>
      </c>
      <c r="H52" s="17">
        <f t="shared" ca="1" si="7"/>
        <v>0</v>
      </c>
      <c r="I52" s="18"/>
      <c r="L52" s="5">
        <f t="shared" ca="1" si="3"/>
        <v>4.5500000000000033E-2</v>
      </c>
      <c r="M52">
        <f t="shared" ca="1" si="2"/>
        <v>13650.000000000011</v>
      </c>
      <c r="N52" s="4" t="e">
        <f ca="1"/>
        <v>#VALUE!</v>
      </c>
      <c r="O52" s="4">
        <f ca="1"/>
        <v>0</v>
      </c>
      <c r="P52" s="13">
        <f ca="1"/>
        <v>0</v>
      </c>
      <c r="U52" s="1"/>
      <c r="V52" s="2"/>
      <c r="W52" s="5"/>
    </row>
    <row r="53" spans="2:23">
      <c r="B53">
        <f ca="1"/>
        <v>3</v>
      </c>
      <c r="C53">
        <f ca="1"/>
        <v>2500</v>
      </c>
      <c r="D53" s="5">
        <f ca="1"/>
        <v>2E-3</v>
      </c>
      <c r="E53" s="2">
        <f ca="1"/>
        <v>0.4</v>
      </c>
      <c r="F53" s="36">
        <f t="shared" ca="1" si="5"/>
        <v>0.2</v>
      </c>
      <c r="G53" s="11">
        <f t="shared" ca="1" si="6"/>
        <v>3</v>
      </c>
      <c r="H53" s="17">
        <f t="shared" ca="1" si="7"/>
        <v>0</v>
      </c>
      <c r="I53" s="18"/>
      <c r="L53" s="5">
        <f t="shared" ca="1" si="3"/>
        <v>4.6500000000000034E-2</v>
      </c>
      <c r="M53">
        <f t="shared" ca="1" si="2"/>
        <v>13950.000000000011</v>
      </c>
      <c r="N53" s="4" t="e">
        <f ca="1"/>
        <v>#VALUE!</v>
      </c>
      <c r="O53" s="4">
        <f ca="1"/>
        <v>0</v>
      </c>
      <c r="P53" s="13">
        <f ca="1"/>
        <v>0</v>
      </c>
      <c r="U53" s="1"/>
      <c r="V53" s="2"/>
      <c r="W53" s="5"/>
    </row>
    <row r="54" spans="2:23">
      <c r="B54">
        <f ca="1"/>
        <v>3</v>
      </c>
      <c r="C54">
        <f ca="1"/>
        <v>2500</v>
      </c>
      <c r="D54" s="5">
        <f ca="1"/>
        <v>2E-3</v>
      </c>
      <c r="E54" s="2">
        <f ca="1"/>
        <v>0.4</v>
      </c>
      <c r="F54" s="36">
        <f t="shared" ca="1" si="5"/>
        <v>0.2</v>
      </c>
      <c r="G54" s="11">
        <f t="shared" ca="1" si="6"/>
        <v>3</v>
      </c>
      <c r="H54" s="17">
        <f t="shared" ca="1" si="7"/>
        <v>0</v>
      </c>
      <c r="I54" s="18"/>
      <c r="L54" s="5">
        <f t="shared" ca="1" si="3"/>
        <v>4.7500000000000035E-2</v>
      </c>
      <c r="M54">
        <f t="shared" ca="1" si="2"/>
        <v>14250.000000000011</v>
      </c>
      <c r="N54" s="4" t="e">
        <f ca="1"/>
        <v>#VALUE!</v>
      </c>
      <c r="O54" s="4">
        <f ca="1"/>
        <v>0</v>
      </c>
      <c r="P54" s="13">
        <f ca="1"/>
        <v>0</v>
      </c>
      <c r="U54" s="1"/>
      <c r="V54" s="2"/>
      <c r="W54" s="5"/>
    </row>
    <row r="55" spans="2:23">
      <c r="B55">
        <f ca="1"/>
        <v>3</v>
      </c>
      <c r="C55">
        <f ca="1"/>
        <v>2500</v>
      </c>
      <c r="D55" s="5">
        <f ca="1"/>
        <v>2E-3</v>
      </c>
      <c r="E55" s="2">
        <f ca="1"/>
        <v>0.4</v>
      </c>
      <c r="F55" s="36">
        <f t="shared" ca="1" si="5"/>
        <v>0.2</v>
      </c>
      <c r="G55" s="11">
        <f t="shared" ca="1" si="6"/>
        <v>3</v>
      </c>
      <c r="H55" s="17">
        <f t="shared" ca="1" si="7"/>
        <v>0</v>
      </c>
      <c r="I55" s="18"/>
      <c r="L55" s="5">
        <f t="shared" ca="1" si="3"/>
        <v>4.8500000000000036E-2</v>
      </c>
      <c r="M55">
        <f t="shared" ca="1" si="2"/>
        <v>14550.000000000011</v>
      </c>
      <c r="N55" s="4" t="e">
        <f ca="1"/>
        <v>#VALUE!</v>
      </c>
      <c r="O55" s="4">
        <f ca="1"/>
        <v>0</v>
      </c>
      <c r="P55" s="13">
        <f ca="1"/>
        <v>0</v>
      </c>
      <c r="U55" s="1"/>
      <c r="V55" s="2"/>
      <c r="W55" s="5"/>
    </row>
    <row r="56" spans="2:23">
      <c r="B56">
        <f ca="1"/>
        <v>3</v>
      </c>
      <c r="C56">
        <f ca="1"/>
        <v>2500</v>
      </c>
      <c r="D56" s="5">
        <f ca="1"/>
        <v>2E-3</v>
      </c>
      <c r="E56" s="2">
        <f ca="1"/>
        <v>0.4</v>
      </c>
      <c r="F56" s="36">
        <f t="shared" ca="1" si="5"/>
        <v>0.2</v>
      </c>
      <c r="G56" s="11">
        <f t="shared" ca="1" si="6"/>
        <v>3</v>
      </c>
      <c r="H56" s="17">
        <f t="shared" ca="1" si="7"/>
        <v>0</v>
      </c>
      <c r="I56" s="18"/>
      <c r="L56" s="5">
        <f t="shared" ca="1" si="3"/>
        <v>4.9500000000000037E-2</v>
      </c>
      <c r="M56">
        <f t="shared" ca="1" si="2"/>
        <v>14850.000000000011</v>
      </c>
      <c r="N56" s="4" t="e">
        <f ca="1"/>
        <v>#VALUE!</v>
      </c>
      <c r="O56" s="4">
        <f ca="1"/>
        <v>0</v>
      </c>
      <c r="P56" s="13">
        <f ca="1"/>
        <v>0</v>
      </c>
      <c r="U56" s="1"/>
      <c r="V56" s="2"/>
      <c r="W56" s="5"/>
    </row>
    <row r="57" spans="2:23">
      <c r="B57">
        <f ca="1"/>
        <v>3</v>
      </c>
      <c r="C57">
        <f ca="1"/>
        <v>2500</v>
      </c>
      <c r="D57" s="5">
        <f ca="1"/>
        <v>2E-3</v>
      </c>
      <c r="E57" s="2">
        <f ca="1"/>
        <v>0.4</v>
      </c>
      <c r="F57" s="36">
        <f t="shared" ca="1" si="5"/>
        <v>0.2</v>
      </c>
      <c r="G57" s="11">
        <f t="shared" ca="1" si="6"/>
        <v>3</v>
      </c>
      <c r="H57" s="17">
        <f t="shared" ca="1" si="7"/>
        <v>0</v>
      </c>
      <c r="I57" s="18"/>
      <c r="L57" s="5">
        <f t="shared" ca="1" si="3"/>
        <v>5.0500000000000038E-2</v>
      </c>
      <c r="M57">
        <f t="shared" ca="1" si="2"/>
        <v>15150.000000000011</v>
      </c>
      <c r="N57" s="4" t="e">
        <f ca="1"/>
        <v>#VALUE!</v>
      </c>
      <c r="O57" s="4">
        <f ca="1"/>
        <v>0</v>
      </c>
      <c r="P57" s="13">
        <f ca="1"/>
        <v>0</v>
      </c>
      <c r="U57" s="1"/>
      <c r="V57" s="2"/>
      <c r="W57" s="5"/>
    </row>
    <row r="58" spans="2:23">
      <c r="B58">
        <f ca="1"/>
        <v>3</v>
      </c>
      <c r="C58">
        <f ca="1"/>
        <v>2500</v>
      </c>
      <c r="D58" s="5">
        <f ca="1"/>
        <v>2E-3</v>
      </c>
      <c r="E58" s="2">
        <f ca="1"/>
        <v>0.4</v>
      </c>
      <c r="F58" s="36">
        <f t="shared" ca="1" si="5"/>
        <v>0.2</v>
      </c>
      <c r="G58" s="11">
        <f t="shared" ca="1" si="6"/>
        <v>3</v>
      </c>
      <c r="H58" s="17">
        <f t="shared" ca="1" si="7"/>
        <v>0</v>
      </c>
      <c r="I58" s="18"/>
      <c r="L58" s="5">
        <f t="shared" ca="1" si="3"/>
        <v>5.1500000000000039E-2</v>
      </c>
      <c r="M58">
        <f t="shared" ca="1" si="2"/>
        <v>15450.000000000011</v>
      </c>
      <c r="N58" s="4" t="e">
        <f ca="1"/>
        <v>#VALUE!</v>
      </c>
      <c r="O58" s="4">
        <f ca="1"/>
        <v>0</v>
      </c>
      <c r="P58" s="13">
        <f ca="1"/>
        <v>0</v>
      </c>
      <c r="U58" s="1"/>
      <c r="V58" s="2"/>
      <c r="W58" s="5"/>
    </row>
    <row r="59" spans="2:23">
      <c r="B59">
        <f ca="1"/>
        <v>3</v>
      </c>
      <c r="C59">
        <f ca="1"/>
        <v>2500</v>
      </c>
      <c r="D59" s="5">
        <f ca="1"/>
        <v>2E-3</v>
      </c>
      <c r="E59" s="2">
        <f ca="1"/>
        <v>0.4</v>
      </c>
      <c r="F59" s="36">
        <f t="shared" ca="1" si="5"/>
        <v>0.2</v>
      </c>
      <c r="G59" s="11">
        <f t="shared" ca="1" si="6"/>
        <v>3</v>
      </c>
      <c r="H59" s="17">
        <f t="shared" ca="1" si="7"/>
        <v>0</v>
      </c>
      <c r="I59" s="18"/>
      <c r="L59" s="5">
        <f t="shared" ca="1" si="3"/>
        <v>5.250000000000004E-2</v>
      </c>
      <c r="M59">
        <f t="shared" ca="1" si="2"/>
        <v>15750.000000000013</v>
      </c>
      <c r="N59" s="4" t="e">
        <f ca="1"/>
        <v>#VALUE!</v>
      </c>
      <c r="O59" s="4">
        <f ca="1"/>
        <v>0</v>
      </c>
      <c r="P59" s="13">
        <f ca="1"/>
        <v>0</v>
      </c>
      <c r="U59" s="1"/>
      <c r="V59" s="2"/>
      <c r="W59" s="5"/>
    </row>
    <row r="60" spans="2:23">
      <c r="B60">
        <f ca="1"/>
        <v>3</v>
      </c>
      <c r="C60">
        <f ca="1"/>
        <v>2500</v>
      </c>
      <c r="D60" s="5">
        <f ca="1"/>
        <v>2E-3</v>
      </c>
      <c r="E60" s="2">
        <f ca="1"/>
        <v>0.4</v>
      </c>
      <c r="F60" s="36">
        <f t="shared" ca="1" si="5"/>
        <v>0.2</v>
      </c>
      <c r="G60" s="11">
        <f t="shared" ca="1" si="6"/>
        <v>3</v>
      </c>
      <c r="H60" s="17">
        <f t="shared" ca="1" si="7"/>
        <v>0</v>
      </c>
      <c r="I60" s="18"/>
      <c r="L60" s="5">
        <f t="shared" ca="1" si="3"/>
        <v>5.3500000000000041E-2</v>
      </c>
      <c r="M60">
        <f t="shared" ca="1" si="2"/>
        <v>16050.000000000013</v>
      </c>
      <c r="N60" s="4" t="e">
        <f ca="1"/>
        <v>#VALUE!</v>
      </c>
      <c r="O60" s="4">
        <f ca="1"/>
        <v>0</v>
      </c>
      <c r="P60" s="13">
        <f ca="1"/>
        <v>0</v>
      </c>
      <c r="U60" s="1"/>
      <c r="V60" s="2"/>
      <c r="W60" s="5"/>
    </row>
    <row r="61" spans="2:23">
      <c r="B61">
        <f ca="1"/>
        <v>3</v>
      </c>
      <c r="C61">
        <f ca="1"/>
        <v>2500</v>
      </c>
      <c r="D61" s="5">
        <f ca="1"/>
        <v>2E-3</v>
      </c>
      <c r="E61" s="2">
        <f ca="1"/>
        <v>0.4</v>
      </c>
      <c r="F61" s="36">
        <f t="shared" ca="1" si="5"/>
        <v>0.2</v>
      </c>
      <c r="G61" s="11">
        <f t="shared" ca="1" si="6"/>
        <v>3</v>
      </c>
      <c r="H61" s="17">
        <f t="shared" ca="1" si="7"/>
        <v>0</v>
      </c>
      <c r="I61" s="18"/>
      <c r="L61" s="5">
        <f t="shared" ca="1" si="3"/>
        <v>5.4500000000000041E-2</v>
      </c>
      <c r="M61">
        <f t="shared" ca="1" si="2"/>
        <v>16350.000000000013</v>
      </c>
      <c r="N61" s="4" t="e">
        <f ca="1"/>
        <v>#VALUE!</v>
      </c>
      <c r="O61" s="4">
        <f ca="1"/>
        <v>0</v>
      </c>
      <c r="P61" s="13">
        <f ca="1"/>
        <v>0</v>
      </c>
      <c r="U61" s="1"/>
      <c r="V61" s="2"/>
      <c r="W61" s="5"/>
    </row>
    <row r="62" spans="2:23">
      <c r="B62">
        <f ca="1"/>
        <v>3</v>
      </c>
      <c r="C62">
        <f ca="1"/>
        <v>2500</v>
      </c>
      <c r="D62" s="5">
        <f ca="1"/>
        <v>2E-3</v>
      </c>
      <c r="E62" s="2">
        <f ca="1"/>
        <v>0.4</v>
      </c>
      <c r="F62" s="36">
        <f t="shared" ca="1" si="5"/>
        <v>0.2</v>
      </c>
      <c r="G62" s="11">
        <f t="shared" ca="1" si="6"/>
        <v>3</v>
      </c>
      <c r="H62" s="17">
        <f t="shared" ca="1" si="7"/>
        <v>0</v>
      </c>
      <c r="I62" s="18"/>
      <c r="L62" s="5">
        <f t="shared" ca="1" si="3"/>
        <v>5.5500000000000042E-2</v>
      </c>
      <c r="M62">
        <f t="shared" ca="1" si="2"/>
        <v>16650.000000000011</v>
      </c>
      <c r="N62" s="4" t="e">
        <f ca="1"/>
        <v>#VALUE!</v>
      </c>
      <c r="O62" s="4">
        <f ca="1"/>
        <v>0</v>
      </c>
      <c r="P62" s="13">
        <f ca="1"/>
        <v>0</v>
      </c>
      <c r="U62" s="1"/>
      <c r="V62" s="2"/>
      <c r="W62" s="5"/>
    </row>
    <row r="63" spans="2:23">
      <c r="B63">
        <f ca="1"/>
        <v>3</v>
      </c>
      <c r="C63">
        <f ca="1"/>
        <v>2500</v>
      </c>
      <c r="D63" s="5">
        <f ca="1"/>
        <v>2E-3</v>
      </c>
      <c r="E63" s="2">
        <f ca="1"/>
        <v>0.4</v>
      </c>
      <c r="F63" s="36">
        <f t="shared" ca="1" si="5"/>
        <v>0.2</v>
      </c>
      <c r="G63" s="11">
        <f t="shared" ca="1" si="6"/>
        <v>3</v>
      </c>
      <c r="H63" s="17">
        <f t="shared" ca="1" si="7"/>
        <v>0</v>
      </c>
      <c r="I63" s="18"/>
      <c r="L63" s="5">
        <f t="shared" ca="1" si="3"/>
        <v>5.6500000000000043E-2</v>
      </c>
      <c r="M63">
        <f t="shared" ca="1" si="2"/>
        <v>16950.000000000015</v>
      </c>
      <c r="N63" s="4" t="e">
        <f ca="1"/>
        <v>#VALUE!</v>
      </c>
      <c r="O63" s="4">
        <f ca="1"/>
        <v>0</v>
      </c>
      <c r="P63" s="13">
        <f ca="1"/>
        <v>0</v>
      </c>
      <c r="U63" s="1"/>
      <c r="V63" s="2"/>
      <c r="W63" s="5"/>
    </row>
    <row r="64" spans="2:23">
      <c r="B64">
        <f ca="1"/>
        <v>3</v>
      </c>
      <c r="C64">
        <f ca="1"/>
        <v>2500</v>
      </c>
      <c r="D64" s="5">
        <f ca="1"/>
        <v>2E-3</v>
      </c>
      <c r="E64" s="2">
        <f ca="1"/>
        <v>0.4</v>
      </c>
      <c r="F64" s="36">
        <f t="shared" ca="1" si="5"/>
        <v>0.2</v>
      </c>
      <c r="G64" s="11">
        <f t="shared" ca="1" si="6"/>
        <v>3</v>
      </c>
      <c r="H64" s="17">
        <f t="shared" ca="1" si="7"/>
        <v>0</v>
      </c>
      <c r="I64" s="18"/>
      <c r="L64" s="5">
        <f t="shared" ca="1" si="3"/>
        <v>5.7500000000000044E-2</v>
      </c>
      <c r="M64">
        <f t="shared" ca="1" si="2"/>
        <v>17250.000000000015</v>
      </c>
      <c r="N64" s="4" t="e">
        <f ca="1"/>
        <v>#VALUE!</v>
      </c>
      <c r="O64" s="4">
        <f ca="1"/>
        <v>0</v>
      </c>
      <c r="P64" s="13">
        <f ca="1"/>
        <v>0</v>
      </c>
      <c r="U64" s="1"/>
      <c r="V64" s="2"/>
      <c r="W64" s="5"/>
    </row>
    <row r="65" spans="2:23">
      <c r="B65">
        <f ca="1"/>
        <v>3</v>
      </c>
      <c r="C65">
        <f ca="1"/>
        <v>2500</v>
      </c>
      <c r="D65" s="5">
        <f ca="1"/>
        <v>2E-3</v>
      </c>
      <c r="E65" s="2">
        <f ca="1"/>
        <v>0.4</v>
      </c>
      <c r="F65" s="36">
        <f t="shared" ca="1" si="5"/>
        <v>0.2</v>
      </c>
      <c r="G65" s="11">
        <f t="shared" ca="1" si="6"/>
        <v>3</v>
      </c>
      <c r="H65" s="17">
        <f t="shared" ca="1" si="7"/>
        <v>0</v>
      </c>
      <c r="I65" s="18"/>
      <c r="L65" s="5">
        <f t="shared" ca="1" si="3"/>
        <v>5.8500000000000045E-2</v>
      </c>
      <c r="M65">
        <f t="shared" ca="1" si="2"/>
        <v>17550.000000000015</v>
      </c>
      <c r="N65" s="8" t="e">
        <f ca="1"/>
        <v>#VALUE!</v>
      </c>
      <c r="O65" s="8">
        <f ca="1"/>
        <v>0</v>
      </c>
      <c r="P65" s="13">
        <f ca="1"/>
        <v>0</v>
      </c>
      <c r="U65" s="1"/>
      <c r="V65" s="2"/>
      <c r="W65" s="5"/>
    </row>
    <row r="66" spans="2:23">
      <c r="B66">
        <f ca="1"/>
        <v>3</v>
      </c>
      <c r="C66">
        <f ca="1"/>
        <v>2500</v>
      </c>
      <c r="D66" s="5">
        <f ca="1"/>
        <v>2E-3</v>
      </c>
      <c r="E66" s="2">
        <f ca="1"/>
        <v>0.4</v>
      </c>
      <c r="F66" s="36">
        <f t="shared" ca="1" si="5"/>
        <v>0.2</v>
      </c>
      <c r="G66" s="11">
        <f t="shared" ca="1" si="6"/>
        <v>3</v>
      </c>
      <c r="H66" s="17">
        <f t="shared" ca="1" si="7"/>
        <v>0</v>
      </c>
      <c r="I66" s="18"/>
      <c r="L66" s="5">
        <f t="shared" ca="1" si="3"/>
        <v>5.9500000000000046E-2</v>
      </c>
      <c r="M66">
        <f t="shared" ca="1" si="2"/>
        <v>17850.000000000015</v>
      </c>
      <c r="N66" s="8" t="e">
        <f ca="1"/>
        <v>#VALUE!</v>
      </c>
      <c r="O66" s="8">
        <f ca="1"/>
        <v>0</v>
      </c>
      <c r="P66" s="13">
        <f ca="1"/>
        <v>0</v>
      </c>
      <c r="U66" s="1"/>
      <c r="V66" s="2"/>
      <c r="W66" s="5"/>
    </row>
    <row r="67" spans="2:23">
      <c r="B67">
        <f ca="1"/>
        <v>3</v>
      </c>
      <c r="C67">
        <f ca="1"/>
        <v>2500</v>
      </c>
      <c r="D67" s="5">
        <f ca="1"/>
        <v>2E-3</v>
      </c>
      <c r="E67" s="2">
        <f ca="1"/>
        <v>0.4</v>
      </c>
      <c r="F67" s="36">
        <f t="shared" ca="1" si="5"/>
        <v>0.2</v>
      </c>
      <c r="G67" s="11">
        <f t="shared" ca="1" si="6"/>
        <v>3</v>
      </c>
      <c r="H67" s="17">
        <f t="shared" ca="1" si="7"/>
        <v>0</v>
      </c>
      <c r="I67" s="18"/>
      <c r="L67" s="5">
        <f t="shared" ca="1" si="3"/>
        <v>6.0500000000000047E-2</v>
      </c>
      <c r="M67">
        <f t="shared" ca="1" si="2"/>
        <v>18150.000000000015</v>
      </c>
      <c r="N67" s="8" t="e">
        <f ca="1"/>
        <v>#VALUE!</v>
      </c>
      <c r="O67" s="8">
        <f ca="1"/>
        <v>0</v>
      </c>
      <c r="P67" s="13">
        <f ca="1"/>
        <v>0</v>
      </c>
      <c r="U67" s="1"/>
      <c r="V67" s="2"/>
      <c r="W67" s="5"/>
    </row>
    <row r="68" spans="2:23">
      <c r="B68">
        <f ca="1"/>
        <v>3</v>
      </c>
      <c r="C68">
        <f ca="1"/>
        <v>2500</v>
      </c>
      <c r="D68" s="5">
        <f ca="1"/>
        <v>2E-3</v>
      </c>
      <c r="E68" s="2">
        <f ca="1"/>
        <v>0.4</v>
      </c>
      <c r="F68" s="36">
        <f t="shared" ca="1" si="5"/>
        <v>0.2</v>
      </c>
      <c r="G68" s="11">
        <f t="shared" ca="1" si="6"/>
        <v>3</v>
      </c>
      <c r="H68" s="17">
        <f t="shared" ca="1" si="7"/>
        <v>0</v>
      </c>
      <c r="I68" s="18"/>
      <c r="L68" s="5">
        <f t="shared" ca="1" si="3"/>
        <v>6.1500000000000048E-2</v>
      </c>
      <c r="M68">
        <f t="shared" ca="1" si="2"/>
        <v>18450.000000000015</v>
      </c>
      <c r="N68" s="8" t="e">
        <f ca="1"/>
        <v>#VALUE!</v>
      </c>
      <c r="O68" s="8">
        <f ca="1"/>
        <v>0</v>
      </c>
      <c r="P68" s="13">
        <f ca="1"/>
        <v>0</v>
      </c>
      <c r="U68" s="1"/>
      <c r="V68" s="2"/>
      <c r="W68" s="5"/>
    </row>
    <row r="69" spans="2:23">
      <c r="B69">
        <f ca="1"/>
        <v>3</v>
      </c>
      <c r="C69">
        <f ca="1"/>
        <v>2500</v>
      </c>
      <c r="D69" s="5">
        <f ca="1"/>
        <v>2E-3</v>
      </c>
      <c r="E69" s="2">
        <f ca="1"/>
        <v>0.4</v>
      </c>
      <c r="F69" s="36">
        <f t="shared" ca="1" si="5"/>
        <v>0.2</v>
      </c>
      <c r="G69" s="11">
        <f t="shared" ca="1" si="6"/>
        <v>3</v>
      </c>
      <c r="H69" s="17">
        <f t="shared" ca="1" si="7"/>
        <v>0</v>
      </c>
      <c r="I69" s="18"/>
      <c r="L69" s="5">
        <f t="shared" ca="1" si="3"/>
        <v>6.2500000000000042E-2</v>
      </c>
      <c r="M69">
        <f t="shared" ca="1" si="2"/>
        <v>18750.000000000011</v>
      </c>
      <c r="N69" s="4" t="e">
        <f ca="1"/>
        <v>#VALUE!</v>
      </c>
      <c r="O69" s="4">
        <f ca="1"/>
        <v>0</v>
      </c>
      <c r="P69" s="13">
        <f ca="1"/>
        <v>0</v>
      </c>
      <c r="U69" s="1"/>
      <c r="V69" s="2"/>
      <c r="W69" s="5"/>
    </row>
    <row r="70" spans="2:23">
      <c r="B70">
        <f ca="1"/>
        <v>3</v>
      </c>
      <c r="C70">
        <f ca="1"/>
        <v>2500</v>
      </c>
      <c r="D70" s="5">
        <f ca="1"/>
        <v>2E-3</v>
      </c>
      <c r="E70" s="2">
        <f ca="1"/>
        <v>0.4</v>
      </c>
      <c r="F70" s="36">
        <f t="shared" ca="1" si="5"/>
        <v>0.2</v>
      </c>
      <c r="G70" s="11">
        <f t="shared" ca="1" si="6"/>
        <v>3</v>
      </c>
      <c r="H70" s="17">
        <f t="shared" ca="1" si="7"/>
        <v>0</v>
      </c>
      <c r="I70" s="18"/>
      <c r="L70" s="5">
        <f t="shared" ca="1" si="3"/>
        <v>6.3500000000000043E-2</v>
      </c>
      <c r="M70">
        <f t="shared" ref="M70:M133" ca="1" si="8">L70*$K$10</f>
        <v>19050.000000000015</v>
      </c>
      <c r="N70" s="4" t="e">
        <f ca="1"/>
        <v>#VALUE!</v>
      </c>
      <c r="O70" s="4">
        <f ca="1"/>
        <v>0</v>
      </c>
      <c r="P70" s="13">
        <f ca="1"/>
        <v>0</v>
      </c>
      <c r="U70" s="1"/>
      <c r="V70" s="2"/>
      <c r="W70" s="5"/>
    </row>
    <row r="71" spans="2:23">
      <c r="B71">
        <f ca="1"/>
        <v>3</v>
      </c>
      <c r="C71">
        <f ca="1"/>
        <v>2500</v>
      </c>
      <c r="D71" s="5">
        <f ca="1"/>
        <v>2E-3</v>
      </c>
      <c r="E71" s="2">
        <f ca="1"/>
        <v>0.4</v>
      </c>
      <c r="F71" s="36">
        <f t="shared" ca="1" si="5"/>
        <v>0.2</v>
      </c>
      <c r="G71" s="11">
        <f t="shared" ca="1" si="6"/>
        <v>3</v>
      </c>
      <c r="H71" s="17">
        <f t="shared" ca="1" si="7"/>
        <v>0</v>
      </c>
      <c r="I71" s="18"/>
      <c r="L71" s="5">
        <f t="shared" ca="1" si="3"/>
        <v>6.4500000000000043E-2</v>
      </c>
      <c r="M71">
        <f t="shared" ca="1" si="8"/>
        <v>19350.000000000015</v>
      </c>
      <c r="N71" s="4" t="e">
        <f ca="1"/>
        <v>#VALUE!</v>
      </c>
      <c r="O71" s="4">
        <f ca="1"/>
        <v>0</v>
      </c>
      <c r="P71" s="13">
        <f ca="1"/>
        <v>0</v>
      </c>
      <c r="U71" s="1"/>
      <c r="V71" s="2"/>
      <c r="W71" s="5"/>
    </row>
    <row r="72" spans="2:23">
      <c r="B72">
        <f ca="1"/>
        <v>3</v>
      </c>
      <c r="C72">
        <f ca="1"/>
        <v>2500</v>
      </c>
      <c r="D72" s="5">
        <f ca="1"/>
        <v>2E-3</v>
      </c>
      <c r="E72" s="2">
        <f ca="1"/>
        <v>0.4</v>
      </c>
      <c r="F72" s="36">
        <f t="shared" ca="1" si="5"/>
        <v>0.2</v>
      </c>
      <c r="G72" s="11">
        <f t="shared" ca="1" si="6"/>
        <v>3</v>
      </c>
      <c r="H72" s="17">
        <f t="shared" ca="1" si="7"/>
        <v>0</v>
      </c>
      <c r="I72" s="18"/>
      <c r="L72" s="5">
        <f t="shared" ref="L72:L135" ca="1" si="9">L71+1/$K$7</f>
        <v>6.5500000000000044E-2</v>
      </c>
      <c r="M72">
        <f t="shared" ca="1" si="8"/>
        <v>19650.000000000015</v>
      </c>
      <c r="N72" s="4" t="e">
        <f ca="1"/>
        <v>#VALUE!</v>
      </c>
      <c r="O72" s="4">
        <f ca="1"/>
        <v>0</v>
      </c>
      <c r="P72" s="13">
        <f ca="1"/>
        <v>0</v>
      </c>
      <c r="U72" s="1"/>
      <c r="V72" s="2"/>
      <c r="W72" s="5"/>
    </row>
    <row r="73" spans="2:23">
      <c r="B73">
        <f ca="1"/>
        <v>3</v>
      </c>
      <c r="C73">
        <f ca="1"/>
        <v>2500</v>
      </c>
      <c r="D73" s="5">
        <f ca="1"/>
        <v>2E-3</v>
      </c>
      <c r="E73" s="2">
        <f ca="1"/>
        <v>0.4</v>
      </c>
      <c r="F73" s="36">
        <f t="shared" ca="1" si="5"/>
        <v>0.2</v>
      </c>
      <c r="G73" s="11">
        <f t="shared" ca="1" si="6"/>
        <v>3</v>
      </c>
      <c r="H73" s="17">
        <f t="shared" ca="1" si="7"/>
        <v>0</v>
      </c>
      <c r="I73" s="18"/>
      <c r="L73" s="5">
        <f t="shared" ca="1" si="9"/>
        <v>6.6500000000000045E-2</v>
      </c>
      <c r="M73">
        <f t="shared" ca="1" si="8"/>
        <v>19950.000000000015</v>
      </c>
      <c r="N73" s="4" t="e">
        <f ca="1"/>
        <v>#VALUE!</v>
      </c>
      <c r="O73" s="4">
        <f ca="1"/>
        <v>0</v>
      </c>
      <c r="P73" s="13">
        <f ca="1"/>
        <v>0</v>
      </c>
      <c r="U73" s="1"/>
      <c r="V73" s="2"/>
      <c r="W73" s="5"/>
    </row>
    <row r="74" spans="2:23">
      <c r="B74">
        <f ca="1"/>
        <v>3</v>
      </c>
      <c r="C74">
        <f ca="1"/>
        <v>2500</v>
      </c>
      <c r="D74" s="5">
        <f ca="1"/>
        <v>2E-3</v>
      </c>
      <c r="E74" s="2">
        <f ca="1"/>
        <v>0.4</v>
      </c>
      <c r="F74" s="36">
        <f t="shared" ca="1" si="5"/>
        <v>0.2</v>
      </c>
      <c r="G74" s="11">
        <f t="shared" ca="1" si="6"/>
        <v>3</v>
      </c>
      <c r="H74" s="17">
        <f t="shared" ca="1" si="7"/>
        <v>0</v>
      </c>
      <c r="I74" s="18"/>
      <c r="L74" s="5">
        <f t="shared" ca="1" si="9"/>
        <v>6.7500000000000046E-2</v>
      </c>
      <c r="M74">
        <f t="shared" ca="1" si="8"/>
        <v>20250.000000000015</v>
      </c>
      <c r="N74" s="4" t="e">
        <f ca="1"/>
        <v>#VALUE!</v>
      </c>
      <c r="O74" s="4">
        <f ca="1"/>
        <v>0</v>
      </c>
      <c r="P74" s="13">
        <f ca="1"/>
        <v>0</v>
      </c>
      <c r="U74" s="1"/>
      <c r="V74" s="2"/>
      <c r="W74" s="5"/>
    </row>
    <row r="75" spans="2:23">
      <c r="B75">
        <f ca="1"/>
        <v>3</v>
      </c>
      <c r="C75">
        <f ca="1"/>
        <v>2500</v>
      </c>
      <c r="D75" s="5">
        <f ca="1"/>
        <v>2E-3</v>
      </c>
      <c r="E75" s="2">
        <f ca="1"/>
        <v>0.4</v>
      </c>
      <c r="F75" s="36">
        <f t="shared" ca="1" si="5"/>
        <v>0.2</v>
      </c>
      <c r="G75" s="11">
        <f t="shared" ca="1" si="6"/>
        <v>3</v>
      </c>
      <c r="H75" s="17">
        <f t="shared" ca="1" si="7"/>
        <v>0</v>
      </c>
      <c r="I75" s="18"/>
      <c r="L75" s="5">
        <f t="shared" ca="1" si="9"/>
        <v>6.8500000000000047E-2</v>
      </c>
      <c r="M75">
        <f t="shared" ca="1" si="8"/>
        <v>20550.000000000015</v>
      </c>
      <c r="N75" s="4" t="e">
        <f ca="1"/>
        <v>#VALUE!</v>
      </c>
      <c r="O75" s="4">
        <f ca="1"/>
        <v>0</v>
      </c>
      <c r="P75" s="13">
        <f ca="1"/>
        <v>0</v>
      </c>
      <c r="U75" s="1"/>
      <c r="V75" s="2"/>
      <c r="W75" s="5"/>
    </row>
    <row r="76" spans="2:23">
      <c r="B76">
        <f ca="1"/>
        <v>3</v>
      </c>
      <c r="C76">
        <f ca="1"/>
        <v>2500</v>
      </c>
      <c r="D76" s="5">
        <f ca="1"/>
        <v>2E-3</v>
      </c>
      <c r="E76" s="2">
        <f ca="1"/>
        <v>0.4</v>
      </c>
      <c r="F76" s="36">
        <f t="shared" ca="1" si="5"/>
        <v>0.2</v>
      </c>
      <c r="G76" s="11">
        <f t="shared" ca="1" si="6"/>
        <v>3</v>
      </c>
      <c r="H76" s="17">
        <f t="shared" ca="1" si="7"/>
        <v>0</v>
      </c>
      <c r="I76" s="18"/>
      <c r="L76" s="5">
        <f t="shared" ca="1" si="9"/>
        <v>6.9500000000000048E-2</v>
      </c>
      <c r="M76">
        <f t="shared" ca="1" si="8"/>
        <v>20850.000000000015</v>
      </c>
      <c r="N76" s="4" t="e">
        <f ca="1"/>
        <v>#VALUE!</v>
      </c>
      <c r="O76" s="4">
        <f ca="1"/>
        <v>0</v>
      </c>
      <c r="P76" s="13">
        <f ca="1"/>
        <v>0</v>
      </c>
      <c r="U76" s="1"/>
      <c r="V76" s="2"/>
      <c r="W76" s="5"/>
    </row>
    <row r="77" spans="2:23">
      <c r="B77">
        <f ca="1"/>
        <v>3</v>
      </c>
      <c r="C77">
        <f ca="1"/>
        <v>2500</v>
      </c>
      <c r="D77" s="5">
        <f ca="1"/>
        <v>2E-3</v>
      </c>
      <c r="E77" s="2">
        <f ca="1"/>
        <v>0.4</v>
      </c>
      <c r="F77" s="36">
        <f t="shared" ca="1" si="5"/>
        <v>0.2</v>
      </c>
      <c r="G77" s="11">
        <f t="shared" ca="1" si="6"/>
        <v>3</v>
      </c>
      <c r="H77" s="17">
        <f t="shared" ca="1" si="7"/>
        <v>0</v>
      </c>
      <c r="I77" s="18"/>
      <c r="L77" s="5">
        <f t="shared" ca="1" si="9"/>
        <v>7.0500000000000049E-2</v>
      </c>
      <c r="M77">
        <f t="shared" ca="1" si="8"/>
        <v>21150.000000000015</v>
      </c>
      <c r="N77" s="4" t="e">
        <f ca="1"/>
        <v>#VALUE!</v>
      </c>
      <c r="O77" s="4">
        <f ca="1"/>
        <v>0</v>
      </c>
      <c r="P77" s="13">
        <f ca="1"/>
        <v>0</v>
      </c>
      <c r="U77" s="1"/>
      <c r="V77" s="2"/>
      <c r="W77" s="5"/>
    </row>
    <row r="78" spans="2:23">
      <c r="B78">
        <f ca="1"/>
        <v>3</v>
      </c>
      <c r="C78">
        <f ca="1"/>
        <v>2500</v>
      </c>
      <c r="D78" s="5">
        <f ca="1"/>
        <v>2E-3</v>
      </c>
      <c r="E78" s="2">
        <f ca="1"/>
        <v>0.4</v>
      </c>
      <c r="F78" s="36">
        <f t="shared" ca="1" si="5"/>
        <v>0.2</v>
      </c>
      <c r="G78" s="11">
        <f t="shared" ca="1" si="6"/>
        <v>3</v>
      </c>
      <c r="H78" s="17">
        <f t="shared" ca="1" si="7"/>
        <v>0</v>
      </c>
      <c r="I78" s="18"/>
      <c r="L78" s="5">
        <f t="shared" ca="1" si="9"/>
        <v>7.150000000000005E-2</v>
      </c>
      <c r="M78">
        <f t="shared" ca="1" si="8"/>
        <v>21450.000000000015</v>
      </c>
      <c r="N78" s="4" t="e">
        <f ca="1"/>
        <v>#VALUE!</v>
      </c>
      <c r="O78" s="4">
        <f ca="1"/>
        <v>0</v>
      </c>
      <c r="P78" s="13">
        <f ca="1"/>
        <v>0</v>
      </c>
      <c r="U78" s="1"/>
      <c r="V78" s="2"/>
      <c r="W78" s="5"/>
    </row>
    <row r="79" spans="2:23">
      <c r="B79">
        <f ca="1"/>
        <v>3</v>
      </c>
      <c r="C79">
        <f ca="1"/>
        <v>2500</v>
      </c>
      <c r="D79" s="5">
        <f ca="1"/>
        <v>2E-3</v>
      </c>
      <c r="E79" s="2">
        <f ca="1"/>
        <v>0.4</v>
      </c>
      <c r="F79" s="36">
        <f t="shared" ca="1" si="5"/>
        <v>0.2</v>
      </c>
      <c r="G79" s="11">
        <f t="shared" ca="1" si="6"/>
        <v>3</v>
      </c>
      <c r="H79" s="17">
        <f t="shared" ca="1" si="7"/>
        <v>0</v>
      </c>
      <c r="I79" s="18"/>
      <c r="L79" s="5">
        <f t="shared" ca="1" si="9"/>
        <v>7.2500000000000051E-2</v>
      </c>
      <c r="M79">
        <f t="shared" ca="1" si="8"/>
        <v>21750.000000000015</v>
      </c>
      <c r="N79" s="4" t="e">
        <f ca="1"/>
        <v>#VALUE!</v>
      </c>
      <c r="O79" s="4">
        <f ca="1"/>
        <v>0</v>
      </c>
      <c r="P79" s="13">
        <f ca="1"/>
        <v>0</v>
      </c>
      <c r="U79" s="1"/>
      <c r="V79" s="2"/>
      <c r="W79" s="5"/>
    </row>
    <row r="80" spans="2:23">
      <c r="B80">
        <f ca="1"/>
        <v>3</v>
      </c>
      <c r="C80">
        <f ca="1"/>
        <v>2500</v>
      </c>
      <c r="D80" s="5">
        <f ca="1"/>
        <v>2E-3</v>
      </c>
      <c r="E80" s="2">
        <f ca="1"/>
        <v>0.4</v>
      </c>
      <c r="F80" s="36">
        <f t="shared" ca="1" si="5"/>
        <v>0.2</v>
      </c>
      <c r="G80" s="11">
        <f t="shared" ca="1" si="6"/>
        <v>3</v>
      </c>
      <c r="H80" s="17">
        <f t="shared" ref="H80:H111" ca="1" si="10">P71</f>
        <v>0</v>
      </c>
      <c r="I80" s="18"/>
      <c r="L80" s="5">
        <f t="shared" ca="1" si="9"/>
        <v>7.3500000000000051E-2</v>
      </c>
      <c r="M80">
        <f t="shared" ca="1" si="8"/>
        <v>22050.000000000015</v>
      </c>
      <c r="N80" s="3" t="e">
        <f ca="1"/>
        <v>#VALUE!</v>
      </c>
      <c r="O80" s="3">
        <f ca="1"/>
        <v>0</v>
      </c>
      <c r="P80" s="13">
        <f ca="1"/>
        <v>0</v>
      </c>
      <c r="U80" s="1"/>
      <c r="V80" s="2"/>
      <c r="W80" s="5"/>
    </row>
    <row r="81" spans="2:23">
      <c r="B81">
        <f ca="1"/>
        <v>4</v>
      </c>
      <c r="C81">
        <f ca="1"/>
        <v>2500</v>
      </c>
      <c r="D81" s="5">
        <f ca="1"/>
        <v>0.01</v>
      </c>
      <c r="E81" s="2">
        <f ca="1"/>
        <v>0.5</v>
      </c>
      <c r="F81" s="36">
        <f t="shared" ref="F81:F144" ca="1" si="11">$K$5</f>
        <v>0.2</v>
      </c>
      <c r="G81" s="11">
        <f t="shared" ref="G81:G144" ca="1" si="12">C81*D81*(1-E81)</f>
        <v>12.5</v>
      </c>
      <c r="H81" s="17">
        <f t="shared" ca="1" si="10"/>
        <v>0</v>
      </c>
      <c r="I81" s="18"/>
      <c r="L81" s="5">
        <f t="shared" ca="1" si="9"/>
        <v>7.4500000000000052E-2</v>
      </c>
      <c r="M81">
        <f t="shared" ca="1" si="8"/>
        <v>22350.000000000015</v>
      </c>
      <c r="N81" s="9" t="e">
        <f ca="1"/>
        <v>#VALUE!</v>
      </c>
      <c r="O81" s="9">
        <f ca="1"/>
        <v>0</v>
      </c>
      <c r="P81" s="13">
        <f ca="1"/>
        <v>0</v>
      </c>
      <c r="U81" s="1"/>
      <c r="V81" s="2"/>
      <c r="W81" s="5"/>
    </row>
    <row r="82" spans="2:23">
      <c r="B82">
        <f ca="1"/>
        <v>4</v>
      </c>
      <c r="C82">
        <f ca="1"/>
        <v>2500</v>
      </c>
      <c r="D82" s="5">
        <f ca="1"/>
        <v>0.01</v>
      </c>
      <c r="E82" s="2">
        <f ca="1"/>
        <v>0.5</v>
      </c>
      <c r="F82" s="36">
        <f t="shared" ca="1" si="11"/>
        <v>0.2</v>
      </c>
      <c r="G82" s="11">
        <f t="shared" ca="1" si="12"/>
        <v>12.5</v>
      </c>
      <c r="H82" s="17">
        <f t="shared" ca="1" si="10"/>
        <v>0</v>
      </c>
      <c r="I82" s="18"/>
      <c r="L82" s="5">
        <f t="shared" ca="1" si="9"/>
        <v>7.5500000000000053E-2</v>
      </c>
      <c r="M82">
        <f t="shared" ca="1" si="8"/>
        <v>22650.000000000015</v>
      </c>
      <c r="N82" s="10" t="e">
        <f ca="1"/>
        <v>#VALUE!</v>
      </c>
      <c r="O82" s="10">
        <f ca="1"/>
        <v>0</v>
      </c>
      <c r="P82" s="13">
        <f ca="1"/>
        <v>0</v>
      </c>
      <c r="U82" s="1"/>
      <c r="V82" s="2"/>
      <c r="W82" s="5"/>
    </row>
    <row r="83" spans="2:23">
      <c r="B83">
        <f ca="1"/>
        <v>4</v>
      </c>
      <c r="C83">
        <f ca="1"/>
        <v>2500</v>
      </c>
      <c r="D83" s="5">
        <f ca="1"/>
        <v>0.01</v>
      </c>
      <c r="E83" s="2">
        <f ca="1"/>
        <v>0.5</v>
      </c>
      <c r="F83" s="36">
        <f t="shared" ca="1" si="11"/>
        <v>0.2</v>
      </c>
      <c r="G83" s="11">
        <f t="shared" ca="1" si="12"/>
        <v>12.5</v>
      </c>
      <c r="H83" s="17">
        <f t="shared" ca="1" si="10"/>
        <v>0</v>
      </c>
      <c r="I83" s="18"/>
      <c r="L83" s="5">
        <f t="shared" ca="1" si="9"/>
        <v>7.6500000000000054E-2</v>
      </c>
      <c r="M83">
        <f t="shared" ca="1" si="8"/>
        <v>22950.000000000015</v>
      </c>
      <c r="N83" s="10" t="e">
        <f ca="1"/>
        <v>#VALUE!</v>
      </c>
      <c r="O83" s="10">
        <f ca="1"/>
        <v>0</v>
      </c>
      <c r="P83" s="13">
        <f ca="1"/>
        <v>0</v>
      </c>
      <c r="U83" s="1"/>
      <c r="V83" s="2"/>
      <c r="W83" s="5"/>
    </row>
    <row r="84" spans="2:23">
      <c r="B84">
        <f ca="1"/>
        <v>4</v>
      </c>
      <c r="C84">
        <f ca="1"/>
        <v>2500</v>
      </c>
      <c r="D84" s="5">
        <f ca="1"/>
        <v>0.01</v>
      </c>
      <c r="E84" s="2">
        <f ca="1"/>
        <v>0.5</v>
      </c>
      <c r="F84" s="36">
        <f t="shared" ca="1" si="11"/>
        <v>0.2</v>
      </c>
      <c r="G84" s="11">
        <f t="shared" ca="1" si="12"/>
        <v>12.5</v>
      </c>
      <c r="H84" s="17">
        <f t="shared" ca="1" si="10"/>
        <v>0</v>
      </c>
      <c r="I84" s="18"/>
      <c r="L84" s="5">
        <f t="shared" ca="1" si="9"/>
        <v>7.7500000000000055E-2</v>
      </c>
      <c r="M84">
        <f t="shared" ca="1" si="8"/>
        <v>23250.000000000018</v>
      </c>
      <c r="N84" s="10" t="e">
        <f ca="1"/>
        <v>#VALUE!</v>
      </c>
      <c r="O84" s="10">
        <f ca="1"/>
        <v>0</v>
      </c>
      <c r="P84" s="13">
        <f ca="1"/>
        <v>0</v>
      </c>
      <c r="U84" s="1"/>
      <c r="V84" s="2"/>
      <c r="W84" s="5"/>
    </row>
    <row r="85" spans="2:23">
      <c r="B85">
        <f ca="1"/>
        <v>4</v>
      </c>
      <c r="C85">
        <f ca="1"/>
        <v>2500</v>
      </c>
      <c r="D85" s="5">
        <f ca="1"/>
        <v>0.01</v>
      </c>
      <c r="E85" s="2">
        <f ca="1"/>
        <v>0.5</v>
      </c>
      <c r="F85" s="36">
        <f t="shared" ca="1" si="11"/>
        <v>0.2</v>
      </c>
      <c r="G85" s="11">
        <f t="shared" ca="1" si="12"/>
        <v>12.5</v>
      </c>
      <c r="H85" s="17">
        <f t="shared" ca="1" si="10"/>
        <v>0</v>
      </c>
      <c r="I85" s="18"/>
      <c r="L85" s="5">
        <f t="shared" ca="1" si="9"/>
        <v>7.8500000000000056E-2</v>
      </c>
      <c r="M85">
        <f t="shared" ca="1" si="8"/>
        <v>23550.000000000018</v>
      </c>
      <c r="N85" s="10" t="e">
        <f ca="1"/>
        <v>#VALUE!</v>
      </c>
      <c r="O85" s="10">
        <f ca="1"/>
        <v>0</v>
      </c>
      <c r="P85" s="13">
        <f ca="1"/>
        <v>0</v>
      </c>
      <c r="U85" s="1"/>
      <c r="V85" s="2"/>
      <c r="W85" s="5"/>
    </row>
    <row r="86" spans="2:23">
      <c r="B86">
        <f ca="1"/>
        <v>4</v>
      </c>
      <c r="C86">
        <f ca="1"/>
        <v>2500</v>
      </c>
      <c r="D86" s="5">
        <f ca="1"/>
        <v>0.01</v>
      </c>
      <c r="E86" s="2">
        <f ca="1"/>
        <v>0.5</v>
      </c>
      <c r="F86" s="36">
        <f t="shared" ca="1" si="11"/>
        <v>0.2</v>
      </c>
      <c r="G86" s="11">
        <f t="shared" ca="1" si="12"/>
        <v>12.5</v>
      </c>
      <c r="H86" s="17">
        <f t="shared" ca="1" si="10"/>
        <v>0</v>
      </c>
      <c r="I86" s="18"/>
      <c r="L86" s="5">
        <f t="shared" ca="1" si="9"/>
        <v>7.9500000000000057E-2</v>
      </c>
      <c r="M86">
        <f t="shared" ca="1" si="8"/>
        <v>23850.000000000018</v>
      </c>
      <c r="N86" s="10" t="e">
        <f ca="1"/>
        <v>#VALUE!</v>
      </c>
      <c r="O86" s="10">
        <f ca="1"/>
        <v>0</v>
      </c>
      <c r="P86" s="13">
        <f ca="1"/>
        <v>0</v>
      </c>
      <c r="U86" s="1"/>
      <c r="V86" s="2"/>
      <c r="W86" s="5"/>
    </row>
    <row r="87" spans="2:23">
      <c r="B87">
        <f ca="1"/>
        <v>4</v>
      </c>
      <c r="C87">
        <f ca="1"/>
        <v>2500</v>
      </c>
      <c r="D87" s="5">
        <f ca="1"/>
        <v>0.01</v>
      </c>
      <c r="E87" s="2">
        <f ca="1"/>
        <v>0.5</v>
      </c>
      <c r="F87" s="36">
        <f t="shared" ca="1" si="11"/>
        <v>0.2</v>
      </c>
      <c r="G87" s="11">
        <f t="shared" ca="1" si="12"/>
        <v>12.5</v>
      </c>
      <c r="H87" s="17">
        <f t="shared" ca="1" si="10"/>
        <v>0</v>
      </c>
      <c r="I87" s="18"/>
      <c r="L87" s="5">
        <f t="shared" ca="1" si="9"/>
        <v>8.0500000000000058E-2</v>
      </c>
      <c r="M87">
        <f t="shared" ca="1" si="8"/>
        <v>24150.000000000018</v>
      </c>
      <c r="N87" s="10" t="e">
        <f ca="1"/>
        <v>#VALUE!</v>
      </c>
      <c r="O87" s="10">
        <f ca="1"/>
        <v>0</v>
      </c>
      <c r="P87" s="13">
        <f ca="1"/>
        <v>0</v>
      </c>
      <c r="U87" s="1"/>
      <c r="V87" s="2"/>
      <c r="W87" s="5"/>
    </row>
    <row r="88" spans="2:23">
      <c r="B88">
        <f ca="1"/>
        <v>4</v>
      </c>
      <c r="C88">
        <f ca="1"/>
        <v>2500</v>
      </c>
      <c r="D88" s="5">
        <f ca="1"/>
        <v>0.01</v>
      </c>
      <c r="E88" s="2">
        <f ca="1"/>
        <v>0.5</v>
      </c>
      <c r="F88" s="36">
        <f t="shared" ca="1" si="11"/>
        <v>0.2</v>
      </c>
      <c r="G88" s="11">
        <f t="shared" ca="1" si="12"/>
        <v>12.5</v>
      </c>
      <c r="H88" s="17">
        <f t="shared" ca="1" si="10"/>
        <v>0</v>
      </c>
      <c r="I88" s="18"/>
      <c r="L88" s="5">
        <f t="shared" ca="1" si="9"/>
        <v>8.1500000000000059E-2</v>
      </c>
      <c r="M88">
        <f t="shared" ca="1" si="8"/>
        <v>24450.000000000018</v>
      </c>
      <c r="N88" s="10" t="e">
        <f ca="1"/>
        <v>#VALUE!</v>
      </c>
      <c r="O88" s="10">
        <f ca="1"/>
        <v>0</v>
      </c>
      <c r="P88" s="13">
        <f ca="1"/>
        <v>0</v>
      </c>
      <c r="U88" s="1"/>
      <c r="V88" s="2"/>
      <c r="W88" s="5"/>
    </row>
    <row r="89" spans="2:23">
      <c r="B89">
        <f ca="1"/>
        <v>4</v>
      </c>
      <c r="C89">
        <f ca="1"/>
        <v>2500</v>
      </c>
      <c r="D89" s="5">
        <f ca="1"/>
        <v>0.01</v>
      </c>
      <c r="E89" s="2">
        <f ca="1"/>
        <v>0.5</v>
      </c>
      <c r="F89" s="36">
        <f t="shared" ca="1" si="11"/>
        <v>0.2</v>
      </c>
      <c r="G89" s="11">
        <f t="shared" ca="1" si="12"/>
        <v>12.5</v>
      </c>
      <c r="H89" s="17">
        <f t="shared" ca="1" si="10"/>
        <v>0</v>
      </c>
      <c r="I89" s="18"/>
      <c r="L89" s="5">
        <f t="shared" ca="1" si="9"/>
        <v>8.2500000000000059E-2</v>
      </c>
      <c r="M89">
        <f t="shared" ca="1" si="8"/>
        <v>24750.000000000018</v>
      </c>
      <c r="N89" s="10" t="e">
        <f ca="1"/>
        <v>#VALUE!</v>
      </c>
      <c r="O89" s="10">
        <f ca="1"/>
        <v>0</v>
      </c>
      <c r="P89" s="13">
        <f ca="1"/>
        <v>0</v>
      </c>
      <c r="U89" s="1"/>
      <c r="V89" s="2"/>
      <c r="W89" s="5"/>
    </row>
    <row r="90" spans="2:23">
      <c r="B90">
        <f ca="1"/>
        <v>4</v>
      </c>
      <c r="C90">
        <f ca="1"/>
        <v>2500</v>
      </c>
      <c r="D90" s="5">
        <f ca="1"/>
        <v>0.01</v>
      </c>
      <c r="E90" s="2">
        <f ca="1"/>
        <v>0.5</v>
      </c>
      <c r="F90" s="36">
        <f t="shared" ca="1" si="11"/>
        <v>0.2</v>
      </c>
      <c r="G90" s="11">
        <f t="shared" ca="1" si="12"/>
        <v>12.5</v>
      </c>
      <c r="H90" s="17">
        <f t="shared" ca="1" si="10"/>
        <v>0</v>
      </c>
      <c r="I90" s="18"/>
      <c r="L90" s="5">
        <f t="shared" ca="1" si="9"/>
        <v>8.350000000000006E-2</v>
      </c>
      <c r="M90">
        <f t="shared" ca="1" si="8"/>
        <v>25050.000000000018</v>
      </c>
      <c r="N90" s="10" t="e">
        <f ca="1"/>
        <v>#VALUE!</v>
      </c>
      <c r="O90" s="10">
        <f ca="1"/>
        <v>0</v>
      </c>
      <c r="P90" s="13">
        <f ca="1"/>
        <v>0</v>
      </c>
      <c r="U90" s="1"/>
      <c r="V90" s="2"/>
      <c r="W90" s="5"/>
    </row>
    <row r="91" spans="2:23">
      <c r="B91">
        <f ca="1"/>
        <v>4</v>
      </c>
      <c r="C91">
        <f ca="1"/>
        <v>2500</v>
      </c>
      <c r="D91" s="5">
        <f ca="1"/>
        <v>0.01</v>
      </c>
      <c r="E91" s="2">
        <f ca="1"/>
        <v>0.5</v>
      </c>
      <c r="F91" s="36">
        <f t="shared" ca="1" si="11"/>
        <v>0.2</v>
      </c>
      <c r="G91" s="11">
        <f t="shared" ca="1" si="12"/>
        <v>12.5</v>
      </c>
      <c r="H91" s="17">
        <f t="shared" ca="1" si="10"/>
        <v>0</v>
      </c>
      <c r="I91" s="18"/>
      <c r="L91" s="5">
        <f t="shared" ca="1" si="9"/>
        <v>8.4500000000000061E-2</v>
      </c>
      <c r="M91">
        <f t="shared" ca="1" si="8"/>
        <v>25350.000000000018</v>
      </c>
      <c r="N91" s="4" t="e">
        <f ca="1"/>
        <v>#VALUE!</v>
      </c>
      <c r="O91" s="4">
        <f ca="1"/>
        <v>0</v>
      </c>
      <c r="P91" s="13">
        <f ca="1"/>
        <v>0</v>
      </c>
      <c r="U91" s="1"/>
      <c r="V91" s="2"/>
      <c r="W91" s="5"/>
    </row>
    <row r="92" spans="2:23">
      <c r="B92">
        <f ca="1"/>
        <v>4</v>
      </c>
      <c r="C92">
        <f ca="1"/>
        <v>2500</v>
      </c>
      <c r="D92" s="5">
        <f ca="1"/>
        <v>0.01</v>
      </c>
      <c r="E92" s="2">
        <f ca="1"/>
        <v>0.5</v>
      </c>
      <c r="F92" s="36">
        <f t="shared" ca="1" si="11"/>
        <v>0.2</v>
      </c>
      <c r="G92" s="11">
        <f t="shared" ca="1" si="12"/>
        <v>12.5</v>
      </c>
      <c r="H92" s="17">
        <f t="shared" ca="1" si="10"/>
        <v>0</v>
      </c>
      <c r="I92" s="18"/>
      <c r="L92" s="5">
        <f t="shared" ca="1" si="9"/>
        <v>8.5500000000000062E-2</v>
      </c>
      <c r="M92">
        <f t="shared" ca="1" si="8"/>
        <v>25650.000000000018</v>
      </c>
      <c r="N92" s="4" t="e">
        <f ca="1"/>
        <v>#VALUE!</v>
      </c>
      <c r="O92" s="4">
        <f ca="1"/>
        <v>0</v>
      </c>
      <c r="P92" s="13">
        <f ca="1"/>
        <v>0</v>
      </c>
      <c r="U92" s="1"/>
      <c r="V92" s="2"/>
      <c r="W92" s="5"/>
    </row>
    <row r="93" spans="2:23">
      <c r="B93">
        <f ca="1"/>
        <v>4</v>
      </c>
      <c r="C93">
        <f ca="1"/>
        <v>2500</v>
      </c>
      <c r="D93" s="5">
        <f ca="1"/>
        <v>0.01</v>
      </c>
      <c r="E93" s="2">
        <f ca="1"/>
        <v>0.5</v>
      </c>
      <c r="F93" s="36">
        <f t="shared" ca="1" si="11"/>
        <v>0.2</v>
      </c>
      <c r="G93" s="11">
        <f t="shared" ca="1" si="12"/>
        <v>12.5</v>
      </c>
      <c r="H93" s="17">
        <f t="shared" ca="1" si="10"/>
        <v>0</v>
      </c>
      <c r="I93" s="18"/>
      <c r="L93" s="5">
        <f t="shared" ca="1" si="9"/>
        <v>8.6500000000000063E-2</v>
      </c>
      <c r="M93">
        <f t="shared" ca="1" si="8"/>
        <v>25950.000000000018</v>
      </c>
      <c r="N93" s="4" t="e">
        <f ca="1"/>
        <v>#VALUE!</v>
      </c>
      <c r="O93" s="4">
        <f ca="1"/>
        <v>0</v>
      </c>
      <c r="P93" s="13">
        <f ca="1"/>
        <v>0</v>
      </c>
      <c r="U93" s="1"/>
      <c r="V93" s="2"/>
      <c r="W93" s="5"/>
    </row>
    <row r="94" spans="2:23">
      <c r="B94">
        <f ca="1"/>
        <v>4</v>
      </c>
      <c r="C94">
        <f ca="1"/>
        <v>2500</v>
      </c>
      <c r="D94" s="5">
        <f ca="1"/>
        <v>0.01</v>
      </c>
      <c r="E94" s="2">
        <f ca="1"/>
        <v>0.5</v>
      </c>
      <c r="F94" s="36">
        <f t="shared" ca="1" si="11"/>
        <v>0.2</v>
      </c>
      <c r="G94" s="11">
        <f t="shared" ca="1" si="12"/>
        <v>12.5</v>
      </c>
      <c r="H94" s="17">
        <f t="shared" ca="1" si="10"/>
        <v>0</v>
      </c>
      <c r="I94" s="18"/>
      <c r="L94" s="5">
        <f t="shared" ca="1" si="9"/>
        <v>8.7500000000000064E-2</v>
      </c>
      <c r="M94">
        <f t="shared" ca="1" si="8"/>
        <v>26250.000000000018</v>
      </c>
      <c r="N94" s="4" t="e">
        <f ca="1"/>
        <v>#VALUE!</v>
      </c>
      <c r="O94" s="4">
        <f ca="1"/>
        <v>0</v>
      </c>
      <c r="P94" s="13">
        <f ca="1"/>
        <v>0</v>
      </c>
      <c r="U94" s="1"/>
      <c r="V94" s="2"/>
      <c r="W94" s="5"/>
    </row>
    <row r="95" spans="2:23">
      <c r="B95">
        <f ca="1"/>
        <v>4</v>
      </c>
      <c r="C95">
        <f ca="1"/>
        <v>2500</v>
      </c>
      <c r="D95" s="5">
        <f ca="1"/>
        <v>0.01</v>
      </c>
      <c r="E95" s="2">
        <f ca="1"/>
        <v>0.5</v>
      </c>
      <c r="F95" s="36">
        <f t="shared" ca="1" si="11"/>
        <v>0.2</v>
      </c>
      <c r="G95" s="11">
        <f t="shared" ca="1" si="12"/>
        <v>12.5</v>
      </c>
      <c r="H95" s="17">
        <f t="shared" ca="1" si="10"/>
        <v>0</v>
      </c>
      <c r="I95" s="18"/>
      <c r="L95" s="5">
        <f t="shared" ca="1" si="9"/>
        <v>8.8500000000000065E-2</v>
      </c>
      <c r="M95">
        <f t="shared" ca="1" si="8"/>
        <v>26550.000000000018</v>
      </c>
      <c r="N95" s="4" t="e">
        <f ca="1"/>
        <v>#VALUE!</v>
      </c>
      <c r="O95" s="4">
        <f ca="1"/>
        <v>0</v>
      </c>
      <c r="P95" s="13">
        <f ca="1"/>
        <v>0</v>
      </c>
      <c r="U95" s="1"/>
      <c r="V95" s="2"/>
      <c r="W95" s="5"/>
    </row>
    <row r="96" spans="2:23">
      <c r="B96">
        <f ca="1"/>
        <v>4</v>
      </c>
      <c r="C96">
        <f ca="1"/>
        <v>2500</v>
      </c>
      <c r="D96" s="5">
        <f ca="1"/>
        <v>0.01</v>
      </c>
      <c r="E96" s="2">
        <f ca="1"/>
        <v>0.5</v>
      </c>
      <c r="F96" s="36">
        <f t="shared" ca="1" si="11"/>
        <v>0.2</v>
      </c>
      <c r="G96" s="11">
        <f t="shared" ca="1" si="12"/>
        <v>12.5</v>
      </c>
      <c r="H96" s="17">
        <f t="shared" ca="1" si="10"/>
        <v>0</v>
      </c>
      <c r="I96" s="18"/>
      <c r="L96" s="5">
        <f t="shared" ca="1" si="9"/>
        <v>8.9500000000000066E-2</v>
      </c>
      <c r="M96">
        <f t="shared" ca="1" si="8"/>
        <v>26850.000000000018</v>
      </c>
      <c r="N96" s="4" t="e">
        <f ca="1"/>
        <v>#VALUE!</v>
      </c>
      <c r="O96" s="4">
        <f ca="1"/>
        <v>0</v>
      </c>
      <c r="P96" s="13">
        <f ca="1"/>
        <v>0</v>
      </c>
      <c r="U96" s="1"/>
      <c r="V96" s="2"/>
      <c r="W96" s="5"/>
    </row>
    <row r="97" spans="2:23">
      <c r="B97">
        <f ca="1"/>
        <v>4</v>
      </c>
      <c r="C97">
        <f ca="1"/>
        <v>2500</v>
      </c>
      <c r="D97" s="5">
        <f ca="1"/>
        <v>0.01</v>
      </c>
      <c r="E97" s="2">
        <f ca="1"/>
        <v>0.5</v>
      </c>
      <c r="F97" s="36">
        <f t="shared" ca="1" si="11"/>
        <v>0.2</v>
      </c>
      <c r="G97" s="11">
        <f t="shared" ca="1" si="12"/>
        <v>12.5</v>
      </c>
      <c r="H97" s="17">
        <f t="shared" ca="1" si="10"/>
        <v>0</v>
      </c>
      <c r="I97" s="18"/>
      <c r="L97" s="5">
        <f t="shared" ca="1" si="9"/>
        <v>9.0500000000000067E-2</v>
      </c>
      <c r="M97">
        <f t="shared" ca="1" si="8"/>
        <v>27150.000000000018</v>
      </c>
      <c r="N97" s="4" t="e">
        <f ca="1"/>
        <v>#VALUE!</v>
      </c>
      <c r="O97" s="4">
        <f ca="1"/>
        <v>0</v>
      </c>
      <c r="P97" s="13">
        <f ca="1"/>
        <v>0</v>
      </c>
      <c r="U97" s="1"/>
      <c r="V97" s="2"/>
      <c r="W97" s="5"/>
    </row>
    <row r="98" spans="2:23">
      <c r="B98">
        <f ca="1"/>
        <v>4</v>
      </c>
      <c r="C98">
        <f ca="1"/>
        <v>2500</v>
      </c>
      <c r="D98" s="5">
        <f ca="1"/>
        <v>0.01</v>
      </c>
      <c r="E98" s="2">
        <f ca="1"/>
        <v>0.5</v>
      </c>
      <c r="F98" s="36">
        <f t="shared" ca="1" si="11"/>
        <v>0.2</v>
      </c>
      <c r="G98" s="11">
        <f t="shared" ca="1" si="12"/>
        <v>12.5</v>
      </c>
      <c r="H98" s="17">
        <f t="shared" ca="1" si="10"/>
        <v>0</v>
      </c>
      <c r="I98" s="18"/>
      <c r="L98" s="5">
        <f t="shared" ca="1" si="9"/>
        <v>9.1500000000000067E-2</v>
      </c>
      <c r="M98">
        <f t="shared" ca="1" si="8"/>
        <v>27450.000000000022</v>
      </c>
      <c r="N98" s="4" t="e">
        <f ca="1"/>
        <v>#VALUE!</v>
      </c>
      <c r="O98" s="4">
        <f ca="1"/>
        <v>0</v>
      </c>
      <c r="P98" s="13">
        <f ca="1"/>
        <v>0</v>
      </c>
      <c r="U98" s="1"/>
      <c r="V98" s="2"/>
      <c r="W98" s="5"/>
    </row>
    <row r="99" spans="2:23">
      <c r="B99">
        <f ca="1"/>
        <v>4</v>
      </c>
      <c r="C99">
        <f ca="1"/>
        <v>2500</v>
      </c>
      <c r="D99" s="5">
        <f ca="1"/>
        <v>0.01</v>
      </c>
      <c r="E99" s="2">
        <f ca="1"/>
        <v>0.5</v>
      </c>
      <c r="F99" s="36">
        <f t="shared" ca="1" si="11"/>
        <v>0.2</v>
      </c>
      <c r="G99" s="11">
        <f t="shared" ca="1" si="12"/>
        <v>12.5</v>
      </c>
      <c r="H99" s="17">
        <f t="shared" ca="1" si="10"/>
        <v>0</v>
      </c>
      <c r="I99" s="18"/>
      <c r="L99" s="5">
        <f t="shared" ca="1" si="9"/>
        <v>9.2500000000000068E-2</v>
      </c>
      <c r="M99">
        <f t="shared" ca="1" si="8"/>
        <v>27750.000000000022</v>
      </c>
      <c r="N99" s="4" t="e">
        <f ca="1"/>
        <v>#VALUE!</v>
      </c>
      <c r="O99" s="4">
        <f ca="1"/>
        <v>0</v>
      </c>
      <c r="P99" s="13">
        <f ca="1"/>
        <v>0</v>
      </c>
      <c r="U99" s="1"/>
      <c r="V99" s="2"/>
      <c r="W99" s="5"/>
    </row>
    <row r="100" spans="2:23">
      <c r="B100">
        <f ca="1"/>
        <v>4</v>
      </c>
      <c r="C100">
        <f ca="1"/>
        <v>2500</v>
      </c>
      <c r="D100" s="5">
        <f ca="1"/>
        <v>0.01</v>
      </c>
      <c r="E100" s="2">
        <f ca="1"/>
        <v>0.5</v>
      </c>
      <c r="F100" s="36">
        <f t="shared" ca="1" si="11"/>
        <v>0.2</v>
      </c>
      <c r="G100" s="11">
        <f t="shared" ca="1" si="12"/>
        <v>12.5</v>
      </c>
      <c r="H100" s="17">
        <f t="shared" ca="1" si="10"/>
        <v>0</v>
      </c>
      <c r="I100" s="18"/>
      <c r="L100" s="5">
        <f t="shared" ca="1" si="9"/>
        <v>9.3500000000000069E-2</v>
      </c>
      <c r="M100">
        <f t="shared" ca="1" si="8"/>
        <v>28050.000000000022</v>
      </c>
      <c r="N100" s="4" t="e">
        <f ca="1"/>
        <v>#VALUE!</v>
      </c>
      <c r="O100" s="4">
        <f ca="1"/>
        <v>0</v>
      </c>
      <c r="P100" s="13">
        <f ca="1"/>
        <v>0</v>
      </c>
      <c r="U100" s="1"/>
      <c r="V100" s="2"/>
      <c r="W100" s="5"/>
    </row>
    <row r="101" spans="2:23">
      <c r="B101">
        <f ca="1"/>
        <v>5</v>
      </c>
      <c r="C101">
        <f ca="1"/>
        <v>1000</v>
      </c>
      <c r="D101" s="5">
        <f ca="1"/>
        <v>0.03</v>
      </c>
      <c r="E101" s="2">
        <f ca="1"/>
        <v>0.65</v>
      </c>
      <c r="F101" s="36">
        <f t="shared" ca="1" si="11"/>
        <v>0.2</v>
      </c>
      <c r="G101" s="11">
        <f t="shared" ca="1" si="12"/>
        <v>10.5</v>
      </c>
      <c r="H101" s="17">
        <f t="shared" ca="1" si="10"/>
        <v>0</v>
      </c>
      <c r="I101" s="18"/>
      <c r="L101" s="5">
        <f t="shared" ca="1" si="9"/>
        <v>9.450000000000007E-2</v>
      </c>
      <c r="M101">
        <f t="shared" ca="1" si="8"/>
        <v>28350.000000000022</v>
      </c>
      <c r="N101" s="4" t="e">
        <f ca="1"/>
        <v>#VALUE!</v>
      </c>
      <c r="O101" s="4">
        <f ca="1"/>
        <v>0</v>
      </c>
      <c r="P101" s="13">
        <f ca="1"/>
        <v>0</v>
      </c>
      <c r="U101" s="1"/>
      <c r="V101" s="2"/>
      <c r="W101" s="5"/>
    </row>
    <row r="102" spans="2:23">
      <c r="B102">
        <f ca="1"/>
        <v>5</v>
      </c>
      <c r="C102">
        <f ca="1"/>
        <v>1000</v>
      </c>
      <c r="D102" s="5">
        <f ca="1"/>
        <v>0.03</v>
      </c>
      <c r="E102" s="2">
        <f ca="1"/>
        <v>0.65</v>
      </c>
      <c r="F102" s="36">
        <f t="shared" ca="1" si="11"/>
        <v>0.2</v>
      </c>
      <c r="G102" s="11">
        <f t="shared" ca="1" si="12"/>
        <v>10.5</v>
      </c>
      <c r="H102" s="17">
        <f t="shared" ca="1" si="10"/>
        <v>0</v>
      </c>
      <c r="I102" s="18"/>
      <c r="L102" s="5">
        <f t="shared" ca="1" si="9"/>
        <v>9.5500000000000071E-2</v>
      </c>
      <c r="M102">
        <f t="shared" ca="1" si="8"/>
        <v>28650.000000000022</v>
      </c>
      <c r="N102" s="4" t="e">
        <f ca="1"/>
        <v>#VALUE!</v>
      </c>
      <c r="O102" s="4">
        <f ca="1"/>
        <v>0</v>
      </c>
      <c r="P102" s="13">
        <f ca="1"/>
        <v>0</v>
      </c>
      <c r="U102" s="1"/>
      <c r="V102" s="2"/>
      <c r="W102" s="5"/>
    </row>
    <row r="103" spans="2:23">
      <c r="B103">
        <f ca="1"/>
        <v>5</v>
      </c>
      <c r="C103">
        <f ca="1"/>
        <v>1000</v>
      </c>
      <c r="D103" s="5">
        <f ca="1"/>
        <v>0.03</v>
      </c>
      <c r="E103" s="2">
        <f ca="1"/>
        <v>0.65</v>
      </c>
      <c r="F103" s="36">
        <f t="shared" ca="1" si="11"/>
        <v>0.2</v>
      </c>
      <c r="G103" s="11">
        <f t="shared" ca="1" si="12"/>
        <v>10.5</v>
      </c>
      <c r="H103" s="17">
        <f t="shared" ca="1" si="10"/>
        <v>0</v>
      </c>
      <c r="I103" s="18"/>
      <c r="L103" s="5">
        <f t="shared" ca="1" si="9"/>
        <v>9.6500000000000072E-2</v>
      </c>
      <c r="M103">
        <f t="shared" ca="1" si="8"/>
        <v>28950.000000000022</v>
      </c>
      <c r="N103" s="4" t="e">
        <f ca="1"/>
        <v>#VALUE!</v>
      </c>
      <c r="O103" s="4">
        <f ca="1"/>
        <v>0</v>
      </c>
      <c r="P103" s="13">
        <f ca="1"/>
        <v>0</v>
      </c>
      <c r="U103" s="1"/>
      <c r="V103" s="2"/>
      <c r="W103" s="5"/>
    </row>
    <row r="104" spans="2:23">
      <c r="B104">
        <f ca="1"/>
        <v>5</v>
      </c>
      <c r="C104">
        <f ca="1"/>
        <v>1000</v>
      </c>
      <c r="D104" s="5">
        <f ca="1"/>
        <v>0.03</v>
      </c>
      <c r="E104" s="2">
        <f ca="1"/>
        <v>0.65</v>
      </c>
      <c r="F104" s="36">
        <f t="shared" ca="1" si="11"/>
        <v>0.2</v>
      </c>
      <c r="G104" s="11">
        <f t="shared" ca="1" si="12"/>
        <v>10.5</v>
      </c>
      <c r="H104" s="17">
        <f t="shared" ca="1" si="10"/>
        <v>0</v>
      </c>
      <c r="I104" s="18"/>
      <c r="L104" s="5">
        <f t="shared" ca="1" si="9"/>
        <v>9.7500000000000073E-2</v>
      </c>
      <c r="M104">
        <f t="shared" ca="1" si="8"/>
        <v>29250.000000000022</v>
      </c>
      <c r="N104" s="4" t="e">
        <f ca="1"/>
        <v>#VALUE!</v>
      </c>
      <c r="O104" s="4">
        <f ca="1"/>
        <v>0</v>
      </c>
      <c r="P104" s="13">
        <f ca="1"/>
        <v>0</v>
      </c>
      <c r="U104" s="1"/>
      <c r="V104" s="2"/>
      <c r="W104" s="5"/>
    </row>
    <row r="105" spans="2:23">
      <c r="B105">
        <f ca="1"/>
        <v>5</v>
      </c>
      <c r="C105">
        <f ca="1"/>
        <v>1000</v>
      </c>
      <c r="D105" s="5">
        <f ca="1"/>
        <v>0.03</v>
      </c>
      <c r="E105" s="2">
        <f ca="1"/>
        <v>0.65</v>
      </c>
      <c r="F105" s="36">
        <f t="shared" ca="1" si="11"/>
        <v>0.2</v>
      </c>
      <c r="G105" s="11">
        <f t="shared" ca="1" si="12"/>
        <v>10.5</v>
      </c>
      <c r="H105" s="17">
        <f t="shared" ca="1" si="10"/>
        <v>0</v>
      </c>
      <c r="I105" s="18"/>
      <c r="L105" s="5">
        <f t="shared" ca="1" si="9"/>
        <v>9.8500000000000074E-2</v>
      </c>
      <c r="M105">
        <f t="shared" ca="1" si="8"/>
        <v>29550.000000000022</v>
      </c>
      <c r="N105" s="4" t="e">
        <f ca="1"/>
        <v>#VALUE!</v>
      </c>
      <c r="O105" s="4">
        <f ca="1"/>
        <v>0</v>
      </c>
      <c r="P105" s="13">
        <f ca="1"/>
        <v>0</v>
      </c>
      <c r="U105" s="1"/>
      <c r="V105" s="2"/>
      <c r="W105" s="5"/>
    </row>
    <row r="106" spans="2:23">
      <c r="B106">
        <f ca="1"/>
        <v>5</v>
      </c>
      <c r="C106">
        <f ca="1"/>
        <v>1000</v>
      </c>
      <c r="D106" s="5">
        <f ca="1"/>
        <v>0.03</v>
      </c>
      <c r="E106" s="2">
        <f ca="1"/>
        <v>0.65</v>
      </c>
      <c r="F106" s="36">
        <f t="shared" ca="1" si="11"/>
        <v>0.2</v>
      </c>
      <c r="G106" s="11">
        <f t="shared" ca="1" si="12"/>
        <v>10.5</v>
      </c>
      <c r="H106" s="17">
        <f t="shared" ca="1" si="10"/>
        <v>0</v>
      </c>
      <c r="I106" s="18"/>
      <c r="L106" s="5">
        <f t="shared" ca="1" si="9"/>
        <v>9.9500000000000074E-2</v>
      </c>
      <c r="M106">
        <f t="shared" ca="1" si="8"/>
        <v>29850.000000000022</v>
      </c>
      <c r="N106" s="4" t="e">
        <f ca="1"/>
        <v>#VALUE!</v>
      </c>
      <c r="O106" s="4">
        <f ca="1"/>
        <v>0</v>
      </c>
      <c r="P106" s="13">
        <f ca="1"/>
        <v>0</v>
      </c>
      <c r="V106" s="2"/>
      <c r="W106" s="5"/>
    </row>
    <row r="107" spans="2:23">
      <c r="B107">
        <f ca="1"/>
        <v>5</v>
      </c>
      <c r="C107">
        <f ca="1"/>
        <v>1000</v>
      </c>
      <c r="D107" s="5">
        <f ca="1"/>
        <v>0.03</v>
      </c>
      <c r="E107" s="2">
        <f ca="1"/>
        <v>0.65</v>
      </c>
      <c r="F107" s="36">
        <f t="shared" ca="1" si="11"/>
        <v>0.2</v>
      </c>
      <c r="G107" s="11">
        <f t="shared" ca="1" si="12"/>
        <v>10.5</v>
      </c>
      <c r="H107" s="17">
        <f t="shared" ca="1" si="10"/>
        <v>0</v>
      </c>
      <c r="I107" s="18"/>
      <c r="L107" s="5">
        <f t="shared" ca="1" si="9"/>
        <v>0.10050000000000008</v>
      </c>
      <c r="M107">
        <f t="shared" ca="1" si="8"/>
        <v>30150.000000000022</v>
      </c>
      <c r="N107" s="4" t="e">
        <f ca="1"/>
        <v>#VALUE!</v>
      </c>
      <c r="O107" s="4">
        <f ca="1"/>
        <v>0</v>
      </c>
      <c r="P107" s="13">
        <f ca="1"/>
        <v>0</v>
      </c>
      <c r="V107" s="2"/>
      <c r="W107" s="5"/>
    </row>
    <row r="108" spans="2:23">
      <c r="B108">
        <f ca="1"/>
        <v>5</v>
      </c>
      <c r="C108">
        <f ca="1"/>
        <v>1000</v>
      </c>
      <c r="D108" s="5">
        <f ca="1"/>
        <v>0.03</v>
      </c>
      <c r="E108" s="2">
        <f ca="1"/>
        <v>0.65</v>
      </c>
      <c r="F108" s="36">
        <f t="shared" ca="1" si="11"/>
        <v>0.2</v>
      </c>
      <c r="G108" s="11">
        <f t="shared" ca="1" si="12"/>
        <v>10.5</v>
      </c>
      <c r="H108" s="17">
        <f t="shared" ca="1" si="10"/>
        <v>0</v>
      </c>
      <c r="I108" s="18"/>
      <c r="L108" s="5">
        <f t="shared" ca="1" si="9"/>
        <v>0.10150000000000008</v>
      </c>
      <c r="M108">
        <f t="shared" ca="1" si="8"/>
        <v>30450.000000000022</v>
      </c>
      <c r="N108" s="4" t="e">
        <f ca="1"/>
        <v>#VALUE!</v>
      </c>
      <c r="O108" s="4">
        <f ca="1"/>
        <v>0</v>
      </c>
      <c r="P108" s="13">
        <f ca="1"/>
        <v>0</v>
      </c>
      <c r="V108" s="2"/>
      <c r="W108" s="5"/>
    </row>
    <row r="109" spans="2:23">
      <c r="B109">
        <f ca="1"/>
        <v>5</v>
      </c>
      <c r="C109">
        <f ca="1"/>
        <v>1000</v>
      </c>
      <c r="D109" s="5">
        <f ca="1"/>
        <v>0.03</v>
      </c>
      <c r="E109" s="2">
        <f ca="1"/>
        <v>0.65</v>
      </c>
      <c r="F109" s="36">
        <f t="shared" ca="1" si="11"/>
        <v>0.2</v>
      </c>
      <c r="G109" s="11">
        <f t="shared" ca="1" si="12"/>
        <v>10.5</v>
      </c>
      <c r="H109" s="17">
        <f t="shared" ca="1" si="10"/>
        <v>0</v>
      </c>
      <c r="I109" s="18"/>
      <c r="L109" s="5">
        <f t="shared" ca="1" si="9"/>
        <v>0.10250000000000008</v>
      </c>
      <c r="M109">
        <f t="shared" ca="1" si="8"/>
        <v>30750.000000000022</v>
      </c>
      <c r="N109" s="4" t="e">
        <f ca="1"/>
        <v>#VALUE!</v>
      </c>
      <c r="O109" s="4">
        <f ca="1"/>
        <v>0</v>
      </c>
      <c r="P109" s="13">
        <f ca="1"/>
        <v>0</v>
      </c>
      <c r="V109" s="2"/>
      <c r="W109" s="5"/>
    </row>
    <row r="110" spans="2:23">
      <c r="B110">
        <f ca="1"/>
        <v>5</v>
      </c>
      <c r="C110">
        <f ca="1"/>
        <v>1000</v>
      </c>
      <c r="D110" s="5">
        <f ca="1"/>
        <v>0.03</v>
      </c>
      <c r="E110" s="2">
        <f ca="1"/>
        <v>0.65</v>
      </c>
      <c r="F110" s="36">
        <f t="shared" ca="1" si="11"/>
        <v>0.2</v>
      </c>
      <c r="G110" s="11">
        <f t="shared" ca="1" si="12"/>
        <v>10.5</v>
      </c>
      <c r="H110" s="17">
        <f t="shared" ca="1" si="10"/>
        <v>0</v>
      </c>
      <c r="I110" s="18"/>
      <c r="L110" s="5">
        <f t="shared" ca="1" si="9"/>
        <v>0.10350000000000008</v>
      </c>
      <c r="M110">
        <f t="shared" ca="1" si="8"/>
        <v>31050.000000000022</v>
      </c>
      <c r="N110" s="4" t="e">
        <f ca="1"/>
        <v>#VALUE!</v>
      </c>
      <c r="O110" s="4">
        <f ca="1"/>
        <v>0</v>
      </c>
      <c r="P110" s="13">
        <f ca="1"/>
        <v>0</v>
      </c>
      <c r="V110" s="2"/>
      <c r="W110" s="5"/>
    </row>
    <row r="111" spans="2:23">
      <c r="B111">
        <f ca="1"/>
        <v>5</v>
      </c>
      <c r="C111">
        <f ca="1"/>
        <v>1000</v>
      </c>
      <c r="D111" s="5">
        <f ca="1"/>
        <v>0.03</v>
      </c>
      <c r="E111" s="2">
        <f ca="1"/>
        <v>0.65</v>
      </c>
      <c r="F111" s="36">
        <f t="shared" ca="1" si="11"/>
        <v>0.2</v>
      </c>
      <c r="G111" s="11">
        <f t="shared" ca="1" si="12"/>
        <v>10.5</v>
      </c>
      <c r="H111" s="17">
        <f t="shared" ca="1" si="10"/>
        <v>0</v>
      </c>
      <c r="I111" s="18"/>
      <c r="L111" s="5">
        <f t="shared" ca="1" si="9"/>
        <v>0.10450000000000008</v>
      </c>
      <c r="M111">
        <f t="shared" ca="1" si="8"/>
        <v>31350.000000000025</v>
      </c>
      <c r="N111" s="4" t="e">
        <f ca="1"/>
        <v>#VALUE!</v>
      </c>
      <c r="O111" s="4">
        <f ca="1"/>
        <v>0</v>
      </c>
      <c r="P111" s="13">
        <f ca="1"/>
        <v>0</v>
      </c>
      <c r="V111" s="2"/>
      <c r="W111" s="5"/>
    </row>
    <row r="112" spans="2:23">
      <c r="B112">
        <f ca="1"/>
        <v>5</v>
      </c>
      <c r="C112">
        <f ca="1"/>
        <v>1000</v>
      </c>
      <c r="D112" s="5">
        <f ca="1"/>
        <v>0.03</v>
      </c>
      <c r="E112" s="2">
        <f ca="1"/>
        <v>0.65</v>
      </c>
      <c r="F112" s="36">
        <f t="shared" ca="1" si="11"/>
        <v>0.2</v>
      </c>
      <c r="G112" s="11">
        <f t="shared" ca="1" si="12"/>
        <v>10.5</v>
      </c>
      <c r="H112" s="17">
        <f t="shared" ref="H112:H143" ca="1" si="13">P103</f>
        <v>0</v>
      </c>
      <c r="I112" s="18"/>
      <c r="L112" s="5">
        <f t="shared" ca="1" si="9"/>
        <v>0.10550000000000008</v>
      </c>
      <c r="M112">
        <f t="shared" ca="1" si="8"/>
        <v>31650.000000000025</v>
      </c>
      <c r="N112" s="4" t="e">
        <f ca="1"/>
        <v>#VALUE!</v>
      </c>
      <c r="O112" s="4">
        <f ca="1"/>
        <v>0</v>
      </c>
      <c r="P112" s="13">
        <f ca="1"/>
        <v>0</v>
      </c>
      <c r="V112" s="2"/>
      <c r="W112" s="5"/>
    </row>
    <row r="113" spans="2:23">
      <c r="B113">
        <f ca="1"/>
        <v>5</v>
      </c>
      <c r="C113">
        <f ca="1"/>
        <v>1000</v>
      </c>
      <c r="D113" s="5">
        <f ca="1"/>
        <v>0.03</v>
      </c>
      <c r="E113" s="2">
        <f ca="1"/>
        <v>0.65</v>
      </c>
      <c r="F113" s="36">
        <f t="shared" ca="1" si="11"/>
        <v>0.2</v>
      </c>
      <c r="G113" s="11">
        <f t="shared" ca="1" si="12"/>
        <v>10.5</v>
      </c>
      <c r="H113" s="17">
        <f t="shared" ca="1" si="13"/>
        <v>0</v>
      </c>
      <c r="I113" s="18"/>
      <c r="L113" s="5">
        <f t="shared" ca="1" si="9"/>
        <v>0.10650000000000008</v>
      </c>
      <c r="M113">
        <f t="shared" ca="1" si="8"/>
        <v>31950.000000000025</v>
      </c>
      <c r="N113" s="4" t="e">
        <f ca="1"/>
        <v>#VALUE!</v>
      </c>
      <c r="O113" s="4">
        <f ca="1"/>
        <v>0</v>
      </c>
      <c r="P113" s="13">
        <f ca="1"/>
        <v>0</v>
      </c>
      <c r="V113" s="2"/>
      <c r="W113" s="5"/>
    </row>
    <row r="114" spans="2:23">
      <c r="B114">
        <f ca="1"/>
        <v>5</v>
      </c>
      <c r="C114">
        <f ca="1"/>
        <v>1000</v>
      </c>
      <c r="D114" s="5">
        <f ca="1"/>
        <v>0.03</v>
      </c>
      <c r="E114" s="2">
        <f ca="1"/>
        <v>0.65</v>
      </c>
      <c r="F114" s="36">
        <f t="shared" ca="1" si="11"/>
        <v>0.2</v>
      </c>
      <c r="G114" s="11">
        <f t="shared" ca="1" si="12"/>
        <v>10.5</v>
      </c>
      <c r="H114" s="17">
        <f t="shared" ca="1" si="13"/>
        <v>0</v>
      </c>
      <c r="I114" s="18"/>
      <c r="L114" s="5">
        <f t="shared" ca="1" si="9"/>
        <v>0.10750000000000008</v>
      </c>
      <c r="M114">
        <f t="shared" ca="1" si="8"/>
        <v>32250.000000000025</v>
      </c>
      <c r="N114" s="4" t="e">
        <f ca="1"/>
        <v>#VALUE!</v>
      </c>
      <c r="O114" s="4">
        <f ca="1"/>
        <v>0</v>
      </c>
      <c r="P114" s="13">
        <f ca="1"/>
        <v>0</v>
      </c>
      <c r="V114" s="2"/>
      <c r="W114" s="5"/>
    </row>
    <row r="115" spans="2:23">
      <c r="B115">
        <f ca="1"/>
        <v>5</v>
      </c>
      <c r="C115">
        <f ca="1"/>
        <v>1000</v>
      </c>
      <c r="D115" s="5">
        <f ca="1"/>
        <v>0.03</v>
      </c>
      <c r="E115" s="2">
        <f ca="1"/>
        <v>0.65</v>
      </c>
      <c r="F115" s="36">
        <f t="shared" ca="1" si="11"/>
        <v>0.2</v>
      </c>
      <c r="G115" s="11">
        <f t="shared" ca="1" si="12"/>
        <v>10.5</v>
      </c>
      <c r="H115" s="17">
        <f t="shared" ca="1" si="13"/>
        <v>0</v>
      </c>
      <c r="I115" s="18"/>
      <c r="L115" s="5">
        <f t="shared" ca="1" si="9"/>
        <v>0.10850000000000008</v>
      </c>
      <c r="M115">
        <f t="shared" ca="1" si="8"/>
        <v>32550.000000000025</v>
      </c>
      <c r="N115" s="4" t="e">
        <f ca="1"/>
        <v>#VALUE!</v>
      </c>
      <c r="O115" s="4">
        <f ca="1"/>
        <v>0</v>
      </c>
      <c r="P115" s="13">
        <f ca="1"/>
        <v>0</v>
      </c>
      <c r="V115" s="2"/>
      <c r="W115" s="5"/>
    </row>
    <row r="116" spans="2:23">
      <c r="B116">
        <f ca="1"/>
        <v>5</v>
      </c>
      <c r="C116">
        <f ca="1"/>
        <v>1000</v>
      </c>
      <c r="D116" s="5">
        <f ca="1"/>
        <v>0.03</v>
      </c>
      <c r="E116" s="2">
        <f ca="1"/>
        <v>0.65</v>
      </c>
      <c r="F116" s="36">
        <f t="shared" ca="1" si="11"/>
        <v>0.2</v>
      </c>
      <c r="G116" s="11">
        <f t="shared" ca="1" si="12"/>
        <v>10.5</v>
      </c>
      <c r="H116" s="17">
        <f t="shared" ca="1" si="13"/>
        <v>0</v>
      </c>
      <c r="I116" s="18"/>
      <c r="L116" s="5">
        <f t="shared" ca="1" si="9"/>
        <v>0.10950000000000008</v>
      </c>
      <c r="M116">
        <f t="shared" ca="1" si="8"/>
        <v>32850.000000000022</v>
      </c>
      <c r="N116" s="4" t="e">
        <f ca="1"/>
        <v>#VALUE!</v>
      </c>
      <c r="O116" s="4">
        <f ca="1"/>
        <v>0</v>
      </c>
      <c r="P116" s="13">
        <f ca="1"/>
        <v>0</v>
      </c>
      <c r="V116" s="2"/>
      <c r="W116" s="5"/>
    </row>
    <row r="117" spans="2:23">
      <c r="B117">
        <f ca="1"/>
        <v>5</v>
      </c>
      <c r="C117">
        <f ca="1"/>
        <v>1000</v>
      </c>
      <c r="D117" s="5">
        <f ca="1"/>
        <v>0.03</v>
      </c>
      <c r="E117" s="2">
        <f ca="1"/>
        <v>0.65</v>
      </c>
      <c r="F117" s="36">
        <f t="shared" ca="1" si="11"/>
        <v>0.2</v>
      </c>
      <c r="G117" s="11">
        <f t="shared" ca="1" si="12"/>
        <v>10.5</v>
      </c>
      <c r="H117" s="17">
        <f t="shared" ca="1" si="13"/>
        <v>0</v>
      </c>
      <c r="I117" s="18"/>
      <c r="L117" s="5">
        <f t="shared" ca="1" si="9"/>
        <v>0.11050000000000008</v>
      </c>
      <c r="M117">
        <f t="shared" ca="1" si="8"/>
        <v>33150.000000000022</v>
      </c>
      <c r="N117" s="4" t="e">
        <f ca="1"/>
        <v>#VALUE!</v>
      </c>
      <c r="O117" s="4">
        <f ca="1"/>
        <v>0</v>
      </c>
      <c r="P117" s="13">
        <f ca="1"/>
        <v>0</v>
      </c>
      <c r="V117" s="2"/>
      <c r="W117" s="5"/>
    </row>
    <row r="118" spans="2:23">
      <c r="B118">
        <f ca="1"/>
        <v>5</v>
      </c>
      <c r="C118">
        <f ca="1"/>
        <v>1000</v>
      </c>
      <c r="D118" s="5">
        <f ca="1"/>
        <v>0.03</v>
      </c>
      <c r="E118" s="2">
        <f ca="1"/>
        <v>0.65</v>
      </c>
      <c r="F118" s="36">
        <f t="shared" ca="1" si="11"/>
        <v>0.2</v>
      </c>
      <c r="G118" s="11">
        <f t="shared" ca="1" si="12"/>
        <v>10.5</v>
      </c>
      <c r="H118" s="17">
        <f t="shared" ca="1" si="13"/>
        <v>0</v>
      </c>
      <c r="I118" s="18"/>
      <c r="L118" s="5">
        <f t="shared" ca="1" si="9"/>
        <v>0.11150000000000009</v>
      </c>
      <c r="M118">
        <f t="shared" ca="1" si="8"/>
        <v>33450.000000000029</v>
      </c>
      <c r="N118" s="4" t="e">
        <f ca="1"/>
        <v>#VALUE!</v>
      </c>
      <c r="O118" s="4">
        <f ca="1"/>
        <v>0</v>
      </c>
      <c r="P118" s="13">
        <f ca="1"/>
        <v>0</v>
      </c>
      <c r="V118" s="2"/>
      <c r="W118" s="5"/>
    </row>
    <row r="119" spans="2:23">
      <c r="B119">
        <f ca="1"/>
        <v>5</v>
      </c>
      <c r="C119">
        <f ca="1"/>
        <v>1000</v>
      </c>
      <c r="D119" s="5">
        <f ca="1"/>
        <v>0.03</v>
      </c>
      <c r="E119" s="2">
        <f ca="1"/>
        <v>0.65</v>
      </c>
      <c r="F119" s="36">
        <f t="shared" ca="1" si="11"/>
        <v>0.2</v>
      </c>
      <c r="G119" s="11">
        <f t="shared" ca="1" si="12"/>
        <v>10.5</v>
      </c>
      <c r="H119" s="17">
        <f t="shared" ca="1" si="13"/>
        <v>0</v>
      </c>
      <c r="I119" s="18"/>
      <c r="L119" s="5">
        <f t="shared" ca="1" si="9"/>
        <v>0.11250000000000009</v>
      </c>
      <c r="M119">
        <f t="shared" ca="1" si="8"/>
        <v>33750.000000000029</v>
      </c>
      <c r="N119" s="4" t="e">
        <f ca="1"/>
        <v>#VALUE!</v>
      </c>
      <c r="O119" s="4">
        <f ca="1"/>
        <v>0</v>
      </c>
      <c r="P119" s="13">
        <f ca="1"/>
        <v>0</v>
      </c>
      <c r="V119" s="2"/>
      <c r="W119" s="5"/>
    </row>
    <row r="120" spans="2:23">
      <c r="B120">
        <f ca="1"/>
        <v>5</v>
      </c>
      <c r="C120">
        <f ca="1"/>
        <v>1000</v>
      </c>
      <c r="D120" s="5">
        <f ca="1"/>
        <v>0.03</v>
      </c>
      <c r="E120" s="2">
        <f ca="1"/>
        <v>0.65</v>
      </c>
      <c r="F120" s="36">
        <f t="shared" ca="1" si="11"/>
        <v>0.2</v>
      </c>
      <c r="G120" s="11">
        <f t="shared" ca="1" si="12"/>
        <v>10.5</v>
      </c>
      <c r="H120" s="17">
        <f t="shared" ca="1" si="13"/>
        <v>0</v>
      </c>
      <c r="I120" s="18"/>
      <c r="L120" s="5">
        <f t="shared" ca="1" si="9"/>
        <v>0.11350000000000009</v>
      </c>
      <c r="M120">
        <f t="shared" ca="1" si="8"/>
        <v>34050.000000000029</v>
      </c>
      <c r="N120" s="4" t="e">
        <f ca="1"/>
        <v>#VALUE!</v>
      </c>
      <c r="O120" s="4">
        <f ca="1"/>
        <v>0</v>
      </c>
      <c r="P120" s="13">
        <f ca="1"/>
        <v>0</v>
      </c>
      <c r="V120" s="2"/>
      <c r="W120" s="5"/>
    </row>
    <row r="121" spans="2:23">
      <c r="B121">
        <f ca="1"/>
        <v>5</v>
      </c>
      <c r="C121">
        <f ca="1"/>
        <v>1000</v>
      </c>
      <c r="D121" s="5">
        <f ca="1"/>
        <v>0.03</v>
      </c>
      <c r="E121" s="2">
        <f ca="1"/>
        <v>0.65</v>
      </c>
      <c r="F121" s="36">
        <f t="shared" ca="1" si="11"/>
        <v>0.2</v>
      </c>
      <c r="G121" s="11">
        <f t="shared" ca="1" si="12"/>
        <v>10.5</v>
      </c>
      <c r="H121" s="17">
        <f t="shared" ca="1" si="13"/>
        <v>0</v>
      </c>
      <c r="I121" s="18"/>
      <c r="L121" s="5">
        <f t="shared" ca="1" si="9"/>
        <v>0.11450000000000009</v>
      </c>
      <c r="M121">
        <f t="shared" ca="1" si="8"/>
        <v>34350.000000000029</v>
      </c>
      <c r="N121" s="4" t="e">
        <f ca="1"/>
        <v>#VALUE!</v>
      </c>
      <c r="O121" s="4">
        <f ca="1"/>
        <v>0</v>
      </c>
      <c r="P121" s="13">
        <f ca="1"/>
        <v>0</v>
      </c>
      <c r="V121" s="2"/>
      <c r="W121" s="5"/>
    </row>
    <row r="122" spans="2:23">
      <c r="B122">
        <f ca="1"/>
        <v>5</v>
      </c>
      <c r="C122">
        <f ca="1"/>
        <v>1000</v>
      </c>
      <c r="D122" s="5">
        <f ca="1"/>
        <v>0.03</v>
      </c>
      <c r="E122" s="2">
        <f ca="1"/>
        <v>0.65</v>
      </c>
      <c r="F122" s="36">
        <f t="shared" ca="1" si="11"/>
        <v>0.2</v>
      </c>
      <c r="G122" s="11">
        <f t="shared" ca="1" si="12"/>
        <v>10.5</v>
      </c>
      <c r="H122" s="17">
        <f t="shared" ca="1" si="13"/>
        <v>0</v>
      </c>
      <c r="I122" s="18"/>
      <c r="L122" s="5">
        <f t="shared" ca="1" si="9"/>
        <v>0.11550000000000009</v>
      </c>
      <c r="M122">
        <f t="shared" ca="1" si="8"/>
        <v>34650.000000000029</v>
      </c>
      <c r="N122" s="4" t="e">
        <f ca="1"/>
        <v>#VALUE!</v>
      </c>
      <c r="O122" s="4">
        <f ca="1"/>
        <v>0</v>
      </c>
      <c r="P122" s="13">
        <f ca="1"/>
        <v>0</v>
      </c>
      <c r="V122" s="2"/>
      <c r="W122" s="5"/>
    </row>
    <row r="123" spans="2:23">
      <c r="B123">
        <f ca="1"/>
        <v>5</v>
      </c>
      <c r="C123">
        <f ca="1"/>
        <v>1000</v>
      </c>
      <c r="D123" s="5">
        <f ca="1"/>
        <v>0.03</v>
      </c>
      <c r="E123" s="2">
        <f ca="1"/>
        <v>0.65</v>
      </c>
      <c r="F123" s="36">
        <f t="shared" ca="1" si="11"/>
        <v>0.2</v>
      </c>
      <c r="G123" s="11">
        <f t="shared" ca="1" si="12"/>
        <v>10.5</v>
      </c>
      <c r="H123" s="17">
        <f t="shared" ca="1" si="13"/>
        <v>0</v>
      </c>
      <c r="I123" s="18"/>
      <c r="L123" s="5">
        <f t="shared" ca="1" si="9"/>
        <v>0.11650000000000009</v>
      </c>
      <c r="M123">
        <f t="shared" ca="1" si="8"/>
        <v>34950.000000000029</v>
      </c>
      <c r="N123" s="4" t="e">
        <f ca="1"/>
        <v>#VALUE!</v>
      </c>
      <c r="O123" s="4">
        <f ca="1"/>
        <v>0</v>
      </c>
      <c r="P123" s="13">
        <f ca="1"/>
        <v>0</v>
      </c>
      <c r="V123" s="2"/>
      <c r="W123" s="5"/>
    </row>
    <row r="124" spans="2:23">
      <c r="B124">
        <f ca="1"/>
        <v>5</v>
      </c>
      <c r="C124">
        <f ca="1"/>
        <v>1000</v>
      </c>
      <c r="D124" s="5">
        <f ca="1"/>
        <v>0.03</v>
      </c>
      <c r="E124" s="2">
        <f ca="1"/>
        <v>0.65</v>
      </c>
      <c r="F124" s="36">
        <f t="shared" ca="1" si="11"/>
        <v>0.2</v>
      </c>
      <c r="G124" s="11">
        <f t="shared" ca="1" si="12"/>
        <v>10.5</v>
      </c>
      <c r="H124" s="17">
        <f t="shared" ca="1" si="13"/>
        <v>0</v>
      </c>
      <c r="I124" s="18"/>
      <c r="L124" s="5">
        <f t="shared" ca="1" si="9"/>
        <v>0.11750000000000009</v>
      </c>
      <c r="M124">
        <f t="shared" ca="1" si="8"/>
        <v>35250.000000000029</v>
      </c>
      <c r="N124" s="4" t="e">
        <f ca="1"/>
        <v>#VALUE!</v>
      </c>
      <c r="O124" s="4">
        <f ca="1"/>
        <v>0</v>
      </c>
      <c r="P124" s="13">
        <f ca="1"/>
        <v>0</v>
      </c>
      <c r="V124" s="2"/>
      <c r="W124" s="5"/>
    </row>
    <row r="125" spans="2:23">
      <c r="B125">
        <f ca="1"/>
        <v>5</v>
      </c>
      <c r="C125">
        <f ca="1"/>
        <v>1000</v>
      </c>
      <c r="D125" s="5">
        <f ca="1"/>
        <v>0.03</v>
      </c>
      <c r="E125" s="2">
        <f ca="1"/>
        <v>0.65</v>
      </c>
      <c r="F125" s="36">
        <f t="shared" ca="1" si="11"/>
        <v>0.2</v>
      </c>
      <c r="G125" s="11">
        <f t="shared" ca="1" si="12"/>
        <v>10.5</v>
      </c>
      <c r="H125" s="17">
        <f t="shared" ca="1" si="13"/>
        <v>0</v>
      </c>
      <c r="I125" s="18"/>
      <c r="L125" s="5">
        <f t="shared" ca="1" si="9"/>
        <v>0.11850000000000009</v>
      </c>
      <c r="M125">
        <f t="shared" ca="1" si="8"/>
        <v>35550.000000000029</v>
      </c>
      <c r="N125" s="4" t="e">
        <f ca="1"/>
        <v>#VALUE!</v>
      </c>
      <c r="O125" s="4">
        <f ca="1"/>
        <v>0</v>
      </c>
      <c r="P125" s="13">
        <f ca="1"/>
        <v>0</v>
      </c>
      <c r="V125" s="2"/>
      <c r="W125" s="5"/>
    </row>
    <row r="126" spans="2:23">
      <c r="B126">
        <f ca="1"/>
        <v>5</v>
      </c>
      <c r="C126">
        <f ca="1"/>
        <v>1000</v>
      </c>
      <c r="D126" s="5">
        <f ca="1"/>
        <v>0.03</v>
      </c>
      <c r="E126" s="2">
        <f ca="1"/>
        <v>0.65</v>
      </c>
      <c r="F126" s="36">
        <f t="shared" ca="1" si="11"/>
        <v>0.2</v>
      </c>
      <c r="G126" s="11">
        <f t="shared" ca="1" si="12"/>
        <v>10.5</v>
      </c>
      <c r="H126" s="17">
        <f t="shared" ca="1" si="13"/>
        <v>0</v>
      </c>
      <c r="I126" s="18"/>
      <c r="L126" s="5">
        <f t="shared" ca="1" si="9"/>
        <v>0.11950000000000009</v>
      </c>
      <c r="M126">
        <f t="shared" ca="1" si="8"/>
        <v>35850.000000000029</v>
      </c>
      <c r="N126" s="4" t="e">
        <f ca="1"/>
        <v>#VALUE!</v>
      </c>
      <c r="O126" s="4">
        <f ca="1"/>
        <v>0</v>
      </c>
      <c r="P126" s="13">
        <f ca="1"/>
        <v>0</v>
      </c>
      <c r="V126" s="2"/>
      <c r="W126" s="5"/>
    </row>
    <row r="127" spans="2:23">
      <c r="B127">
        <f ca="1"/>
        <v>5</v>
      </c>
      <c r="C127">
        <f ca="1"/>
        <v>1000</v>
      </c>
      <c r="D127" s="5">
        <f ca="1"/>
        <v>0.03</v>
      </c>
      <c r="E127" s="2">
        <f ca="1"/>
        <v>0.65</v>
      </c>
      <c r="F127" s="36">
        <f t="shared" ca="1" si="11"/>
        <v>0.2</v>
      </c>
      <c r="G127" s="11">
        <f t="shared" ca="1" si="12"/>
        <v>10.5</v>
      </c>
      <c r="H127" s="17">
        <f t="shared" ca="1" si="13"/>
        <v>0</v>
      </c>
      <c r="I127" s="18"/>
      <c r="L127" s="5">
        <f t="shared" ca="1" si="9"/>
        <v>0.12050000000000009</v>
      </c>
      <c r="M127">
        <f t="shared" ca="1" si="8"/>
        <v>36150.000000000029</v>
      </c>
      <c r="N127" s="4" t="e">
        <f ca="1"/>
        <v>#VALUE!</v>
      </c>
      <c r="O127" s="4">
        <f ca="1"/>
        <v>0</v>
      </c>
      <c r="P127" s="13">
        <f ca="1"/>
        <v>0</v>
      </c>
      <c r="V127" s="2"/>
      <c r="W127" s="5"/>
    </row>
    <row r="128" spans="2:23">
      <c r="B128">
        <f ca="1"/>
        <v>5</v>
      </c>
      <c r="C128">
        <f ca="1"/>
        <v>1000</v>
      </c>
      <c r="D128" s="5">
        <f ca="1"/>
        <v>0.03</v>
      </c>
      <c r="E128" s="2">
        <f ca="1"/>
        <v>0.65</v>
      </c>
      <c r="F128" s="36">
        <f t="shared" ca="1" si="11"/>
        <v>0.2</v>
      </c>
      <c r="G128" s="11">
        <f t="shared" ca="1" si="12"/>
        <v>10.5</v>
      </c>
      <c r="H128" s="17">
        <f t="shared" ca="1" si="13"/>
        <v>0</v>
      </c>
      <c r="I128" s="18"/>
      <c r="L128" s="5">
        <f t="shared" ca="1" si="9"/>
        <v>0.12150000000000009</v>
      </c>
      <c r="M128">
        <f t="shared" ca="1" si="8"/>
        <v>36450.000000000029</v>
      </c>
      <c r="N128" s="4" t="e">
        <f ca="1"/>
        <v>#VALUE!</v>
      </c>
      <c r="O128" s="4">
        <f ca="1"/>
        <v>0</v>
      </c>
      <c r="P128" s="13">
        <f ca="1"/>
        <v>0</v>
      </c>
      <c r="V128" s="2"/>
      <c r="W128" s="5"/>
    </row>
    <row r="129" spans="2:23">
      <c r="B129">
        <f ca="1"/>
        <v>5</v>
      </c>
      <c r="C129">
        <f ca="1"/>
        <v>1000</v>
      </c>
      <c r="D129" s="5">
        <f ca="1"/>
        <v>0.03</v>
      </c>
      <c r="E129" s="2">
        <f ca="1"/>
        <v>0.65</v>
      </c>
      <c r="F129" s="36">
        <f t="shared" ca="1" si="11"/>
        <v>0.2</v>
      </c>
      <c r="G129" s="11">
        <f t="shared" ca="1" si="12"/>
        <v>10.5</v>
      </c>
      <c r="H129" s="17">
        <f t="shared" ca="1" si="13"/>
        <v>0</v>
      </c>
      <c r="I129" s="18"/>
      <c r="L129" s="5">
        <f t="shared" ca="1" si="9"/>
        <v>0.12250000000000009</v>
      </c>
      <c r="M129">
        <f t="shared" ca="1" si="8"/>
        <v>36750.000000000029</v>
      </c>
      <c r="N129" s="4" t="e">
        <f ca="1"/>
        <v>#VALUE!</v>
      </c>
      <c r="O129" s="4">
        <f ca="1"/>
        <v>0</v>
      </c>
      <c r="P129" s="13">
        <f ca="1"/>
        <v>0</v>
      </c>
      <c r="V129" s="2"/>
      <c r="W129" s="5"/>
    </row>
    <row r="130" spans="2:23">
      <c r="B130">
        <f ca="1"/>
        <v>5</v>
      </c>
      <c r="C130">
        <f ca="1"/>
        <v>1000</v>
      </c>
      <c r="D130" s="5">
        <f ca="1"/>
        <v>0.03</v>
      </c>
      <c r="E130" s="2">
        <f ca="1"/>
        <v>0.65</v>
      </c>
      <c r="F130" s="36">
        <f t="shared" ca="1" si="11"/>
        <v>0.2</v>
      </c>
      <c r="G130" s="11">
        <f t="shared" ca="1" si="12"/>
        <v>10.5</v>
      </c>
      <c r="H130" s="17">
        <f t="shared" ca="1" si="13"/>
        <v>0</v>
      </c>
      <c r="I130" s="18"/>
      <c r="L130" s="5">
        <f t="shared" ca="1" si="9"/>
        <v>0.1235000000000001</v>
      </c>
      <c r="M130">
        <f t="shared" ca="1" si="8"/>
        <v>37050.000000000029</v>
      </c>
      <c r="N130" s="4" t="e">
        <f ca="1"/>
        <v>#VALUE!</v>
      </c>
      <c r="O130" s="4">
        <f ca="1"/>
        <v>0</v>
      </c>
      <c r="P130" s="13">
        <f ca="1"/>
        <v>0</v>
      </c>
      <c r="V130" s="2"/>
      <c r="W130" s="5"/>
    </row>
    <row r="131" spans="2:23">
      <c r="B131">
        <f ca="1"/>
        <v>6</v>
      </c>
      <c r="C131">
        <f ca="1"/>
        <v>1000</v>
      </c>
      <c r="D131" s="5">
        <f ca="1"/>
        <v>0.04</v>
      </c>
      <c r="E131" s="2">
        <f ca="1"/>
        <v>0.65</v>
      </c>
      <c r="F131" s="36">
        <f t="shared" ca="1" si="11"/>
        <v>0.2</v>
      </c>
      <c r="G131" s="11">
        <f t="shared" ca="1" si="12"/>
        <v>14</v>
      </c>
      <c r="H131" s="17">
        <f t="shared" ca="1" si="13"/>
        <v>0</v>
      </c>
      <c r="I131" s="18"/>
      <c r="L131" s="5">
        <f t="shared" ca="1" si="9"/>
        <v>0.1245000000000001</v>
      </c>
      <c r="M131">
        <f t="shared" ca="1" si="8"/>
        <v>37350.000000000029</v>
      </c>
      <c r="N131" s="4" t="e">
        <f ca="1"/>
        <v>#VALUE!</v>
      </c>
      <c r="O131" s="4">
        <f ca="1"/>
        <v>0</v>
      </c>
      <c r="P131" s="13">
        <f ca="1"/>
        <v>0</v>
      </c>
      <c r="V131" s="2"/>
      <c r="W131" s="5"/>
    </row>
    <row r="132" spans="2:23">
      <c r="B132">
        <f ca="1"/>
        <v>6</v>
      </c>
      <c r="C132">
        <f ca="1"/>
        <v>1000</v>
      </c>
      <c r="D132" s="5">
        <f ca="1"/>
        <v>0.04</v>
      </c>
      <c r="E132" s="2">
        <f ca="1"/>
        <v>0.65</v>
      </c>
      <c r="F132" s="36">
        <f t="shared" ca="1" si="11"/>
        <v>0.2</v>
      </c>
      <c r="G132" s="11">
        <f t="shared" ca="1" si="12"/>
        <v>14</v>
      </c>
      <c r="H132" s="17">
        <f t="shared" ca="1" si="13"/>
        <v>0</v>
      </c>
      <c r="I132" s="18"/>
      <c r="L132" s="5">
        <f t="shared" ca="1" si="9"/>
        <v>0.12550000000000008</v>
      </c>
      <c r="M132">
        <f t="shared" ca="1" si="8"/>
        <v>37650.000000000022</v>
      </c>
      <c r="N132" s="4" t="e">
        <f ca="1"/>
        <v>#VALUE!</v>
      </c>
      <c r="O132" s="4">
        <f ca="1"/>
        <v>0</v>
      </c>
      <c r="P132" s="13">
        <f ca="1"/>
        <v>0</v>
      </c>
      <c r="V132" s="2"/>
      <c r="W132" s="5"/>
    </row>
    <row r="133" spans="2:23">
      <c r="B133">
        <f ca="1"/>
        <v>6</v>
      </c>
      <c r="C133">
        <f ca="1"/>
        <v>1000</v>
      </c>
      <c r="D133" s="5">
        <f ca="1"/>
        <v>0.04</v>
      </c>
      <c r="E133" s="2">
        <f ca="1"/>
        <v>0.65</v>
      </c>
      <c r="F133" s="36">
        <f t="shared" ca="1" si="11"/>
        <v>0.2</v>
      </c>
      <c r="G133" s="11">
        <f t="shared" ca="1" si="12"/>
        <v>14</v>
      </c>
      <c r="H133" s="17">
        <f t="shared" ca="1" si="13"/>
        <v>0</v>
      </c>
      <c r="I133" s="18"/>
      <c r="L133" s="5">
        <f t="shared" ca="1" si="9"/>
        <v>0.12650000000000008</v>
      </c>
      <c r="M133">
        <f t="shared" ca="1" si="8"/>
        <v>37950.000000000022</v>
      </c>
      <c r="N133" s="4" t="e">
        <f ca="1"/>
        <v>#VALUE!</v>
      </c>
      <c r="O133" s="4">
        <f ca="1"/>
        <v>0</v>
      </c>
      <c r="P133" s="13">
        <f ca="1"/>
        <v>0</v>
      </c>
      <c r="V133" s="2"/>
      <c r="W133" s="5"/>
    </row>
    <row r="134" spans="2:23">
      <c r="B134">
        <f ca="1"/>
        <v>6</v>
      </c>
      <c r="C134">
        <f ca="1"/>
        <v>1000</v>
      </c>
      <c r="D134" s="5">
        <f ca="1"/>
        <v>0.04</v>
      </c>
      <c r="E134" s="2">
        <f ca="1"/>
        <v>0.65</v>
      </c>
      <c r="F134" s="36">
        <f t="shared" ca="1" si="11"/>
        <v>0.2</v>
      </c>
      <c r="G134" s="11">
        <f t="shared" ca="1" si="12"/>
        <v>14</v>
      </c>
      <c r="H134" s="17">
        <f t="shared" ca="1" si="13"/>
        <v>0</v>
      </c>
      <c r="I134" s="18"/>
      <c r="L134" s="5">
        <f t="shared" ca="1" si="9"/>
        <v>0.12750000000000009</v>
      </c>
      <c r="M134">
        <f t="shared" ref="M134:M197" ca="1" si="14">L134*$K$10</f>
        <v>38250.000000000029</v>
      </c>
      <c r="N134" s="4" t="e">
        <f ca="1"/>
        <v>#VALUE!</v>
      </c>
      <c r="O134" s="4">
        <f ca="1"/>
        <v>0</v>
      </c>
      <c r="P134" s="13">
        <f ca="1"/>
        <v>0</v>
      </c>
      <c r="V134" s="2"/>
      <c r="W134" s="5"/>
    </row>
    <row r="135" spans="2:23">
      <c r="B135">
        <f ca="1"/>
        <v>6</v>
      </c>
      <c r="C135">
        <f ca="1"/>
        <v>1000</v>
      </c>
      <c r="D135" s="5">
        <f ca="1"/>
        <v>0.04</v>
      </c>
      <c r="E135" s="2">
        <f ca="1"/>
        <v>0.65</v>
      </c>
      <c r="F135" s="36">
        <f t="shared" ca="1" si="11"/>
        <v>0.2</v>
      </c>
      <c r="G135" s="11">
        <f t="shared" ca="1" si="12"/>
        <v>14</v>
      </c>
      <c r="H135" s="17">
        <f t="shared" ca="1" si="13"/>
        <v>0</v>
      </c>
      <c r="I135" s="18"/>
      <c r="L135" s="5">
        <f t="shared" ca="1" si="9"/>
        <v>0.12850000000000009</v>
      </c>
      <c r="M135">
        <f t="shared" ca="1" si="14"/>
        <v>38550.000000000029</v>
      </c>
      <c r="N135" s="4" t="e">
        <f ca="1"/>
        <v>#VALUE!</v>
      </c>
      <c r="O135" s="4">
        <f ca="1"/>
        <v>0</v>
      </c>
      <c r="P135" s="13">
        <f ca="1"/>
        <v>0</v>
      </c>
      <c r="V135" s="2"/>
      <c r="W135" s="5"/>
    </row>
    <row r="136" spans="2:23">
      <c r="B136">
        <f ca="1"/>
        <v>6</v>
      </c>
      <c r="C136">
        <f ca="1"/>
        <v>1000</v>
      </c>
      <c r="D136" s="5">
        <f ca="1"/>
        <v>0.04</v>
      </c>
      <c r="E136" s="2">
        <f ca="1"/>
        <v>0.65</v>
      </c>
      <c r="F136" s="36">
        <f t="shared" ca="1" si="11"/>
        <v>0.2</v>
      </c>
      <c r="G136" s="11">
        <f t="shared" ca="1" si="12"/>
        <v>14</v>
      </c>
      <c r="H136" s="17">
        <f t="shared" ca="1" si="13"/>
        <v>0</v>
      </c>
      <c r="I136" s="18"/>
      <c r="L136" s="5">
        <f t="shared" ref="L136:L199" ca="1" si="15">L135+1/$K$7</f>
        <v>0.12950000000000009</v>
      </c>
      <c r="M136">
        <f t="shared" ca="1" si="14"/>
        <v>38850.000000000029</v>
      </c>
      <c r="N136" s="4" t="e">
        <f ca="1"/>
        <v>#VALUE!</v>
      </c>
      <c r="O136" s="4">
        <f ca="1"/>
        <v>0</v>
      </c>
      <c r="P136" s="13">
        <f ca="1"/>
        <v>0</v>
      </c>
      <c r="V136" s="2"/>
      <c r="W136" s="5"/>
    </row>
    <row r="137" spans="2:23">
      <c r="B137">
        <f ca="1"/>
        <v>6</v>
      </c>
      <c r="C137">
        <f ca="1"/>
        <v>1000</v>
      </c>
      <c r="D137" s="5">
        <f ca="1"/>
        <v>0.04</v>
      </c>
      <c r="E137" s="2">
        <f ca="1"/>
        <v>0.65</v>
      </c>
      <c r="F137" s="36">
        <f t="shared" ca="1" si="11"/>
        <v>0.2</v>
      </c>
      <c r="G137" s="11">
        <f t="shared" ca="1" si="12"/>
        <v>14</v>
      </c>
      <c r="H137" s="17">
        <f t="shared" ca="1" si="13"/>
        <v>0</v>
      </c>
      <c r="I137" s="18"/>
      <c r="L137" s="5">
        <f t="shared" ca="1" si="15"/>
        <v>0.13050000000000009</v>
      </c>
      <c r="M137">
        <f t="shared" ca="1" si="14"/>
        <v>39150.000000000029</v>
      </c>
      <c r="N137" s="4" t="e">
        <f ca="1"/>
        <v>#VALUE!</v>
      </c>
      <c r="O137" s="4">
        <f ca="1"/>
        <v>0</v>
      </c>
      <c r="P137" s="13">
        <f ca="1"/>
        <v>0</v>
      </c>
      <c r="V137" s="2"/>
      <c r="W137" s="5"/>
    </row>
    <row r="138" spans="2:23">
      <c r="B138">
        <f ca="1"/>
        <v>6</v>
      </c>
      <c r="C138">
        <f ca="1"/>
        <v>1000</v>
      </c>
      <c r="D138" s="5">
        <f ca="1"/>
        <v>0.04</v>
      </c>
      <c r="E138" s="2">
        <f ca="1"/>
        <v>0.65</v>
      </c>
      <c r="F138" s="36">
        <f t="shared" ca="1" si="11"/>
        <v>0.2</v>
      </c>
      <c r="G138" s="11">
        <f t="shared" ca="1" si="12"/>
        <v>14</v>
      </c>
      <c r="H138" s="17">
        <f t="shared" ca="1" si="13"/>
        <v>0</v>
      </c>
      <c r="I138" s="18"/>
      <c r="L138" s="5">
        <f t="shared" ca="1" si="15"/>
        <v>0.13150000000000009</v>
      </c>
      <c r="M138">
        <f t="shared" ca="1" si="14"/>
        <v>39450.000000000029</v>
      </c>
      <c r="N138" s="4" t="e">
        <f ca="1"/>
        <v>#VALUE!</v>
      </c>
      <c r="O138" s="4">
        <f ca="1"/>
        <v>0</v>
      </c>
      <c r="P138" s="13">
        <f ca="1"/>
        <v>0</v>
      </c>
      <c r="V138" s="2"/>
      <c r="W138" s="5"/>
    </row>
    <row r="139" spans="2:23">
      <c r="B139">
        <f ca="1"/>
        <v>6</v>
      </c>
      <c r="C139">
        <f ca="1"/>
        <v>1000</v>
      </c>
      <c r="D139" s="5">
        <f ca="1"/>
        <v>0.04</v>
      </c>
      <c r="E139" s="2">
        <f ca="1"/>
        <v>0.65</v>
      </c>
      <c r="F139" s="36">
        <f t="shared" ca="1" si="11"/>
        <v>0.2</v>
      </c>
      <c r="G139" s="11">
        <f t="shared" ca="1" si="12"/>
        <v>14</v>
      </c>
      <c r="H139" s="17">
        <f t="shared" ca="1" si="13"/>
        <v>0</v>
      </c>
      <c r="I139" s="18"/>
      <c r="L139" s="5">
        <f t="shared" ca="1" si="15"/>
        <v>0.13250000000000009</v>
      </c>
      <c r="M139">
        <f t="shared" ca="1" si="14"/>
        <v>39750.000000000029</v>
      </c>
      <c r="N139" s="4" t="e">
        <f ca="1"/>
        <v>#VALUE!</v>
      </c>
      <c r="O139" s="4">
        <f ca="1"/>
        <v>0</v>
      </c>
      <c r="P139" s="13">
        <f ca="1"/>
        <v>0</v>
      </c>
      <c r="V139" s="2"/>
      <c r="W139" s="5"/>
    </row>
    <row r="140" spans="2:23">
      <c r="B140">
        <f ca="1"/>
        <v>6</v>
      </c>
      <c r="C140">
        <f ca="1"/>
        <v>1000</v>
      </c>
      <c r="D140" s="5">
        <f ca="1"/>
        <v>0.04</v>
      </c>
      <c r="E140" s="2">
        <f ca="1"/>
        <v>0.65</v>
      </c>
      <c r="F140" s="36">
        <f t="shared" ca="1" si="11"/>
        <v>0.2</v>
      </c>
      <c r="G140" s="11">
        <f t="shared" ca="1" si="12"/>
        <v>14</v>
      </c>
      <c r="H140" s="17">
        <f t="shared" ca="1" si="13"/>
        <v>0</v>
      </c>
      <c r="I140" s="18"/>
      <c r="L140" s="5">
        <f t="shared" ca="1" si="15"/>
        <v>0.13350000000000009</v>
      </c>
      <c r="M140">
        <f t="shared" ca="1" si="14"/>
        <v>40050.000000000029</v>
      </c>
      <c r="N140" s="4" t="e">
        <f ca="1"/>
        <v>#VALUE!</v>
      </c>
      <c r="O140" s="4">
        <f ca="1"/>
        <v>0</v>
      </c>
      <c r="P140" s="13">
        <f ca="1"/>
        <v>0</v>
      </c>
      <c r="V140" s="2"/>
      <c r="W140" s="5"/>
    </row>
    <row r="141" spans="2:23">
      <c r="B141">
        <f ca="1"/>
        <v>6</v>
      </c>
      <c r="C141">
        <f ca="1"/>
        <v>1000</v>
      </c>
      <c r="D141" s="5">
        <f ca="1"/>
        <v>0.04</v>
      </c>
      <c r="E141" s="2">
        <f ca="1"/>
        <v>0.65</v>
      </c>
      <c r="F141" s="36">
        <f t="shared" ca="1" si="11"/>
        <v>0.2</v>
      </c>
      <c r="G141" s="11">
        <f t="shared" ca="1" si="12"/>
        <v>14</v>
      </c>
      <c r="H141" s="17">
        <f t="shared" ca="1" si="13"/>
        <v>0</v>
      </c>
      <c r="I141" s="18"/>
      <c r="L141" s="5">
        <f t="shared" ca="1" si="15"/>
        <v>0.13450000000000009</v>
      </c>
      <c r="M141">
        <f t="shared" ca="1" si="14"/>
        <v>40350.000000000029</v>
      </c>
      <c r="N141" s="4" t="e">
        <f ca="1"/>
        <v>#VALUE!</v>
      </c>
      <c r="O141" s="4">
        <f ca="1"/>
        <v>0</v>
      </c>
      <c r="P141" s="13">
        <f ca="1"/>
        <v>0</v>
      </c>
      <c r="V141" s="2"/>
      <c r="W141" s="5"/>
    </row>
    <row r="142" spans="2:23">
      <c r="B142">
        <f ca="1"/>
        <v>6</v>
      </c>
      <c r="C142">
        <f ca="1"/>
        <v>1000</v>
      </c>
      <c r="D142" s="5">
        <f ca="1"/>
        <v>0.04</v>
      </c>
      <c r="E142" s="2">
        <f ca="1"/>
        <v>0.65</v>
      </c>
      <c r="F142" s="36">
        <f t="shared" ca="1" si="11"/>
        <v>0.2</v>
      </c>
      <c r="G142" s="11">
        <f t="shared" ca="1" si="12"/>
        <v>14</v>
      </c>
      <c r="H142" s="17">
        <f t="shared" ca="1" si="13"/>
        <v>0</v>
      </c>
      <c r="I142" s="18"/>
      <c r="L142" s="5">
        <f t="shared" ca="1" si="15"/>
        <v>0.13550000000000009</v>
      </c>
      <c r="M142">
        <f t="shared" ca="1" si="14"/>
        <v>40650.000000000029</v>
      </c>
      <c r="N142" s="4" t="e">
        <f ca="1"/>
        <v>#VALUE!</v>
      </c>
      <c r="O142" s="4">
        <f ca="1"/>
        <v>0</v>
      </c>
      <c r="P142" s="13">
        <f ca="1"/>
        <v>0</v>
      </c>
      <c r="V142" s="2"/>
      <c r="W142" s="5"/>
    </row>
    <row r="143" spans="2:23">
      <c r="B143">
        <f ca="1"/>
        <v>6</v>
      </c>
      <c r="C143">
        <f ca="1"/>
        <v>1000</v>
      </c>
      <c r="D143" s="5">
        <f ca="1"/>
        <v>0.04</v>
      </c>
      <c r="E143" s="2">
        <f ca="1"/>
        <v>0.65</v>
      </c>
      <c r="F143" s="36">
        <f t="shared" ca="1" si="11"/>
        <v>0.2</v>
      </c>
      <c r="G143" s="11">
        <f t="shared" ca="1" si="12"/>
        <v>14</v>
      </c>
      <c r="H143" s="17">
        <f t="shared" ca="1" si="13"/>
        <v>0</v>
      </c>
      <c r="I143" s="18"/>
      <c r="L143" s="5">
        <f t="shared" ca="1" si="15"/>
        <v>0.13650000000000009</v>
      </c>
      <c r="M143">
        <f t="shared" ca="1" si="14"/>
        <v>40950.000000000029</v>
      </c>
      <c r="N143" s="4" t="e">
        <f ca="1"/>
        <v>#VALUE!</v>
      </c>
      <c r="O143" s="4">
        <f ca="1"/>
        <v>0</v>
      </c>
      <c r="P143" s="13">
        <f ca="1"/>
        <v>0</v>
      </c>
      <c r="V143" s="2"/>
      <c r="W143" s="5"/>
    </row>
    <row r="144" spans="2:23">
      <c r="B144">
        <f ca="1"/>
        <v>6</v>
      </c>
      <c r="C144">
        <f ca="1"/>
        <v>1000</v>
      </c>
      <c r="D144" s="5">
        <f ca="1"/>
        <v>0.04</v>
      </c>
      <c r="E144" s="2">
        <f ca="1"/>
        <v>0.65</v>
      </c>
      <c r="F144" s="36">
        <f t="shared" ca="1" si="11"/>
        <v>0.2</v>
      </c>
      <c r="G144" s="11">
        <f t="shared" ca="1" si="12"/>
        <v>14</v>
      </c>
      <c r="H144" s="17">
        <f t="shared" ref="H144:H175" ca="1" si="16">P135</f>
        <v>0</v>
      </c>
      <c r="I144" s="18"/>
      <c r="L144" s="5">
        <f t="shared" ca="1" si="15"/>
        <v>0.13750000000000009</v>
      </c>
      <c r="M144">
        <f t="shared" ca="1" si="14"/>
        <v>41250.000000000029</v>
      </c>
      <c r="N144" s="4" t="e">
        <f ca="1"/>
        <v>#VALUE!</v>
      </c>
      <c r="O144" s="4">
        <f ca="1"/>
        <v>0</v>
      </c>
      <c r="P144" s="13">
        <f ca="1"/>
        <v>0</v>
      </c>
      <c r="V144" s="2"/>
      <c r="W144" s="5"/>
    </row>
    <row r="145" spans="2:23">
      <c r="B145">
        <f ca="1"/>
        <v>6</v>
      </c>
      <c r="C145">
        <f ca="1"/>
        <v>1000</v>
      </c>
      <c r="D145" s="5">
        <f ca="1"/>
        <v>0.04</v>
      </c>
      <c r="E145" s="2">
        <f ca="1"/>
        <v>0.65</v>
      </c>
      <c r="F145" s="36">
        <f t="shared" ref="F145:F175" ca="1" si="17">$K$5</f>
        <v>0.2</v>
      </c>
      <c r="G145" s="11">
        <f t="shared" ref="G145:G175" ca="1" si="18">C145*D145*(1-E145)</f>
        <v>14</v>
      </c>
      <c r="H145" s="17">
        <f t="shared" ca="1" si="16"/>
        <v>0</v>
      </c>
      <c r="I145" s="18"/>
      <c r="L145" s="5">
        <f t="shared" ca="1" si="15"/>
        <v>0.1385000000000001</v>
      </c>
      <c r="M145">
        <f t="shared" ca="1" si="14"/>
        <v>41550.000000000029</v>
      </c>
      <c r="N145" s="4" t="e">
        <f ca="1"/>
        <v>#VALUE!</v>
      </c>
      <c r="O145" s="4">
        <f ca="1"/>
        <v>0</v>
      </c>
      <c r="P145" s="13">
        <f ca="1"/>
        <v>0</v>
      </c>
      <c r="V145" s="2"/>
      <c r="W145" s="5"/>
    </row>
    <row r="146" spans="2:23">
      <c r="B146">
        <f ca="1"/>
        <v>6</v>
      </c>
      <c r="C146">
        <f ca="1"/>
        <v>1000</v>
      </c>
      <c r="D146" s="5">
        <f ca="1"/>
        <v>0.04</v>
      </c>
      <c r="E146" s="2">
        <f ca="1"/>
        <v>0.65</v>
      </c>
      <c r="F146" s="36">
        <f t="shared" ca="1" si="17"/>
        <v>0.2</v>
      </c>
      <c r="G146" s="11">
        <f t="shared" ca="1" si="18"/>
        <v>14</v>
      </c>
      <c r="H146" s="17">
        <f t="shared" ca="1" si="16"/>
        <v>0</v>
      </c>
      <c r="I146" s="18"/>
      <c r="L146" s="5">
        <f t="shared" ca="1" si="15"/>
        <v>0.1395000000000001</v>
      </c>
      <c r="M146">
        <f t="shared" ca="1" si="14"/>
        <v>41850.000000000029</v>
      </c>
      <c r="N146" s="4" t="e">
        <f ca="1"/>
        <v>#VALUE!</v>
      </c>
      <c r="O146" s="4">
        <f ca="1"/>
        <v>0</v>
      </c>
      <c r="P146" s="13">
        <f ca="1"/>
        <v>0</v>
      </c>
      <c r="V146" s="2"/>
      <c r="W146" s="5"/>
    </row>
    <row r="147" spans="2:23">
      <c r="B147">
        <f ca="1"/>
        <v>6</v>
      </c>
      <c r="C147">
        <f ca="1"/>
        <v>1000</v>
      </c>
      <c r="D147" s="5">
        <f ca="1"/>
        <v>0.04</v>
      </c>
      <c r="E147" s="2">
        <f ca="1"/>
        <v>0.65</v>
      </c>
      <c r="F147" s="36">
        <f t="shared" ca="1" si="17"/>
        <v>0.2</v>
      </c>
      <c r="G147" s="11">
        <f t="shared" ca="1" si="18"/>
        <v>14</v>
      </c>
      <c r="H147" s="17">
        <f t="shared" ca="1" si="16"/>
        <v>0</v>
      </c>
      <c r="I147" s="18"/>
      <c r="L147" s="5">
        <f t="shared" ca="1" si="15"/>
        <v>0.1405000000000001</v>
      </c>
      <c r="M147">
        <f t="shared" ca="1" si="14"/>
        <v>42150.000000000029</v>
      </c>
      <c r="N147" s="4" t="e">
        <f ca="1"/>
        <v>#VALUE!</v>
      </c>
      <c r="O147" s="4">
        <f ca="1"/>
        <v>0</v>
      </c>
      <c r="P147" s="13">
        <f ca="1"/>
        <v>0</v>
      </c>
      <c r="V147" s="2"/>
      <c r="W147" s="5"/>
    </row>
    <row r="148" spans="2:23">
      <c r="B148">
        <f ca="1"/>
        <v>6</v>
      </c>
      <c r="C148">
        <f ca="1"/>
        <v>1000</v>
      </c>
      <c r="D148" s="5">
        <f ca="1"/>
        <v>0.04</v>
      </c>
      <c r="E148" s="2">
        <f ca="1"/>
        <v>0.65</v>
      </c>
      <c r="F148" s="36">
        <f t="shared" ca="1" si="17"/>
        <v>0.2</v>
      </c>
      <c r="G148" s="11">
        <f t="shared" ca="1" si="18"/>
        <v>14</v>
      </c>
      <c r="H148" s="17">
        <f t="shared" ca="1" si="16"/>
        <v>0</v>
      </c>
      <c r="I148" s="18"/>
      <c r="L148" s="5">
        <f t="shared" ca="1" si="15"/>
        <v>0.1415000000000001</v>
      </c>
      <c r="M148">
        <f t="shared" ca="1" si="14"/>
        <v>42450.000000000029</v>
      </c>
      <c r="N148" s="4" t="e">
        <f ca="1"/>
        <v>#VALUE!</v>
      </c>
      <c r="O148" s="4">
        <f ca="1"/>
        <v>0</v>
      </c>
      <c r="P148" s="13">
        <f ca="1"/>
        <v>0</v>
      </c>
      <c r="V148" s="2"/>
      <c r="W148" s="5"/>
    </row>
    <row r="149" spans="2:23">
      <c r="B149">
        <f ca="1"/>
        <v>6</v>
      </c>
      <c r="C149">
        <f ca="1"/>
        <v>1000</v>
      </c>
      <c r="D149" s="5">
        <f ca="1"/>
        <v>0.04</v>
      </c>
      <c r="E149" s="2">
        <f ca="1"/>
        <v>0.65</v>
      </c>
      <c r="F149" s="36">
        <f t="shared" ca="1" si="17"/>
        <v>0.2</v>
      </c>
      <c r="G149" s="11">
        <f t="shared" ca="1" si="18"/>
        <v>14</v>
      </c>
      <c r="H149" s="17">
        <f t="shared" ca="1" si="16"/>
        <v>0</v>
      </c>
      <c r="I149" s="18"/>
      <c r="L149" s="5">
        <f t="shared" ca="1" si="15"/>
        <v>0.1425000000000001</v>
      </c>
      <c r="M149">
        <f t="shared" ca="1" si="14"/>
        <v>42750.000000000029</v>
      </c>
      <c r="N149" s="4" t="e">
        <f ca="1"/>
        <v>#VALUE!</v>
      </c>
      <c r="O149" s="4">
        <f ca="1"/>
        <v>0</v>
      </c>
      <c r="P149" s="13">
        <f ca="1"/>
        <v>0</v>
      </c>
      <c r="V149" s="2"/>
      <c r="W149" s="5"/>
    </row>
    <row r="150" spans="2:23">
      <c r="B150">
        <f ca="1"/>
        <v>6</v>
      </c>
      <c r="C150">
        <f ca="1"/>
        <v>1000</v>
      </c>
      <c r="D150" s="5">
        <f ca="1"/>
        <v>0.04</v>
      </c>
      <c r="E150" s="2">
        <f ca="1"/>
        <v>0.65</v>
      </c>
      <c r="F150" s="36">
        <f t="shared" ca="1" si="17"/>
        <v>0.2</v>
      </c>
      <c r="G150" s="11">
        <f t="shared" ca="1" si="18"/>
        <v>14</v>
      </c>
      <c r="H150" s="17">
        <f t="shared" ca="1" si="16"/>
        <v>0</v>
      </c>
      <c r="I150" s="18"/>
      <c r="L150" s="5">
        <f t="shared" ca="1" si="15"/>
        <v>0.1435000000000001</v>
      </c>
      <c r="M150">
        <f t="shared" ca="1" si="14"/>
        <v>43050.000000000029</v>
      </c>
      <c r="N150" s="4" t="e">
        <f ca="1"/>
        <v>#VALUE!</v>
      </c>
      <c r="O150" s="4">
        <f ca="1"/>
        <v>0</v>
      </c>
      <c r="P150" s="13">
        <f ca="1"/>
        <v>0</v>
      </c>
      <c r="V150" s="2"/>
      <c r="W150" s="5"/>
    </row>
    <row r="151" spans="2:23">
      <c r="B151">
        <f ca="1"/>
        <v>6</v>
      </c>
      <c r="C151">
        <f ca="1"/>
        <v>1000</v>
      </c>
      <c r="D151" s="5">
        <f ca="1"/>
        <v>0.04</v>
      </c>
      <c r="E151" s="2">
        <f ca="1"/>
        <v>0.65</v>
      </c>
      <c r="F151" s="36">
        <f t="shared" ca="1" si="17"/>
        <v>0.2</v>
      </c>
      <c r="G151" s="11">
        <f t="shared" ca="1" si="18"/>
        <v>14</v>
      </c>
      <c r="H151" s="17">
        <f t="shared" ca="1" si="16"/>
        <v>0</v>
      </c>
      <c r="I151" s="18"/>
      <c r="L151" s="5">
        <f t="shared" ca="1" si="15"/>
        <v>0.1445000000000001</v>
      </c>
      <c r="M151">
        <f t="shared" ca="1" si="14"/>
        <v>43350.000000000029</v>
      </c>
      <c r="N151" s="4" t="e">
        <f ca="1"/>
        <v>#VALUE!</v>
      </c>
      <c r="O151" s="4">
        <f ca="1"/>
        <v>0</v>
      </c>
      <c r="P151" s="13">
        <f ca="1"/>
        <v>0</v>
      </c>
      <c r="V151" s="2"/>
      <c r="W151" s="5"/>
    </row>
    <row r="152" spans="2:23">
      <c r="B152">
        <f ca="1"/>
        <v>6</v>
      </c>
      <c r="C152">
        <f ca="1"/>
        <v>1000</v>
      </c>
      <c r="D152" s="5">
        <f ca="1"/>
        <v>0.04</v>
      </c>
      <c r="E152" s="2">
        <f ca="1"/>
        <v>0.65</v>
      </c>
      <c r="F152" s="36">
        <f t="shared" ca="1" si="17"/>
        <v>0.2</v>
      </c>
      <c r="G152" s="11">
        <f t="shared" ca="1" si="18"/>
        <v>14</v>
      </c>
      <c r="H152" s="17">
        <f t="shared" ca="1" si="16"/>
        <v>0</v>
      </c>
      <c r="I152" s="18"/>
      <c r="L152" s="5">
        <f t="shared" ca="1" si="15"/>
        <v>0.1455000000000001</v>
      </c>
      <c r="M152">
        <f t="shared" ca="1" si="14"/>
        <v>43650.000000000029</v>
      </c>
      <c r="N152" s="4" t="e">
        <f ca="1"/>
        <v>#VALUE!</v>
      </c>
      <c r="O152" s="4">
        <f ca="1"/>
        <v>0</v>
      </c>
      <c r="P152" s="13">
        <f ca="1"/>
        <v>0</v>
      </c>
      <c r="V152" s="2"/>
      <c r="W152" s="5"/>
    </row>
    <row r="153" spans="2:23">
      <c r="B153">
        <f ca="1"/>
        <v>6</v>
      </c>
      <c r="C153">
        <f ca="1"/>
        <v>1000</v>
      </c>
      <c r="D153" s="5">
        <f ca="1"/>
        <v>0.04</v>
      </c>
      <c r="E153" s="2">
        <f ca="1"/>
        <v>0.65</v>
      </c>
      <c r="F153" s="36">
        <f t="shared" ca="1" si="17"/>
        <v>0.2</v>
      </c>
      <c r="G153" s="11">
        <f t="shared" ca="1" si="18"/>
        <v>14</v>
      </c>
      <c r="H153" s="17">
        <f t="shared" ca="1" si="16"/>
        <v>0</v>
      </c>
      <c r="I153" s="18"/>
      <c r="L153" s="5">
        <f t="shared" ca="1" si="15"/>
        <v>0.1465000000000001</v>
      </c>
      <c r="M153">
        <f t="shared" ca="1" si="14"/>
        <v>43950.000000000029</v>
      </c>
      <c r="N153" s="4" t="e">
        <f ca="1"/>
        <v>#VALUE!</v>
      </c>
      <c r="O153" s="4">
        <f ca="1"/>
        <v>0</v>
      </c>
      <c r="P153" s="13">
        <f ca="1"/>
        <v>0</v>
      </c>
      <c r="V153" s="2"/>
      <c r="W153" s="5"/>
    </row>
    <row r="154" spans="2:23">
      <c r="B154">
        <f ca="1"/>
        <v>6</v>
      </c>
      <c r="C154">
        <f ca="1"/>
        <v>1000</v>
      </c>
      <c r="D154" s="5">
        <f ca="1"/>
        <v>0.04</v>
      </c>
      <c r="E154" s="2">
        <f ca="1"/>
        <v>0.65</v>
      </c>
      <c r="F154" s="36">
        <f t="shared" ca="1" si="17"/>
        <v>0.2</v>
      </c>
      <c r="G154" s="11">
        <f t="shared" ca="1" si="18"/>
        <v>14</v>
      </c>
      <c r="H154" s="17">
        <f t="shared" ca="1" si="16"/>
        <v>0</v>
      </c>
      <c r="I154" s="18"/>
      <c r="L154" s="5">
        <f t="shared" ca="1" si="15"/>
        <v>0.1475000000000001</v>
      </c>
      <c r="M154">
        <f t="shared" ca="1" si="14"/>
        <v>44250.000000000029</v>
      </c>
      <c r="N154" s="4" t="e">
        <f ca="1"/>
        <v>#VALUE!</v>
      </c>
      <c r="O154" s="4">
        <f ca="1"/>
        <v>0</v>
      </c>
      <c r="P154" s="13">
        <f ca="1"/>
        <v>0</v>
      </c>
      <c r="V154" s="2"/>
      <c r="W154" s="5"/>
    </row>
    <row r="155" spans="2:23">
      <c r="B155">
        <f ca="1"/>
        <v>6</v>
      </c>
      <c r="C155">
        <f ca="1"/>
        <v>1000</v>
      </c>
      <c r="D155" s="5">
        <f ca="1"/>
        <v>0.04</v>
      </c>
      <c r="E155" s="2">
        <f ca="1"/>
        <v>0.65</v>
      </c>
      <c r="F155" s="36">
        <f t="shared" ca="1" si="17"/>
        <v>0.2</v>
      </c>
      <c r="G155" s="11">
        <f t="shared" ca="1" si="18"/>
        <v>14</v>
      </c>
      <c r="H155" s="17">
        <f t="shared" ca="1" si="16"/>
        <v>0</v>
      </c>
      <c r="I155" s="18"/>
      <c r="L155" s="5">
        <f t="shared" ca="1" si="15"/>
        <v>0.1485000000000001</v>
      </c>
      <c r="M155">
        <f t="shared" ca="1" si="14"/>
        <v>44550.000000000029</v>
      </c>
      <c r="N155" s="4" t="e">
        <f ca="1"/>
        <v>#VALUE!</v>
      </c>
      <c r="O155" s="4">
        <f ca="1"/>
        <v>0</v>
      </c>
      <c r="P155" s="13">
        <f ca="1"/>
        <v>0</v>
      </c>
      <c r="V155" s="2"/>
      <c r="W155" s="5"/>
    </row>
    <row r="156" spans="2:23">
      <c r="B156">
        <f ca="1"/>
        <v>6</v>
      </c>
      <c r="C156">
        <f ca="1"/>
        <v>1000</v>
      </c>
      <c r="D156" s="5">
        <f ca="1"/>
        <v>0.04</v>
      </c>
      <c r="E156" s="2">
        <f ca="1"/>
        <v>0.65</v>
      </c>
      <c r="F156" s="36">
        <f t="shared" ca="1" si="17"/>
        <v>0.2</v>
      </c>
      <c r="G156" s="11">
        <f t="shared" ca="1" si="18"/>
        <v>14</v>
      </c>
      <c r="H156" s="17">
        <f t="shared" ca="1" si="16"/>
        <v>0</v>
      </c>
      <c r="I156" s="18"/>
      <c r="L156" s="5">
        <f t="shared" ca="1" si="15"/>
        <v>0.14950000000000011</v>
      </c>
      <c r="M156">
        <f t="shared" ca="1" si="14"/>
        <v>44850.000000000029</v>
      </c>
      <c r="N156" s="4" t="e">
        <f ca="1"/>
        <v>#VALUE!</v>
      </c>
      <c r="O156" s="4">
        <f ca="1"/>
        <v>0</v>
      </c>
      <c r="P156" s="13">
        <f ca="1"/>
        <v>0</v>
      </c>
      <c r="V156" s="2"/>
      <c r="W156" s="5"/>
    </row>
    <row r="157" spans="2:23">
      <c r="B157">
        <f ca="1"/>
        <v>6</v>
      </c>
      <c r="C157">
        <f ca="1"/>
        <v>1000</v>
      </c>
      <c r="D157" s="5">
        <f ca="1"/>
        <v>0.04</v>
      </c>
      <c r="E157" s="2">
        <f ca="1"/>
        <v>0.65</v>
      </c>
      <c r="F157" s="36">
        <f t="shared" ca="1" si="17"/>
        <v>0.2</v>
      </c>
      <c r="G157" s="11">
        <f t="shared" ca="1" si="18"/>
        <v>14</v>
      </c>
      <c r="H157" s="17">
        <f t="shared" ca="1" si="16"/>
        <v>0</v>
      </c>
      <c r="I157" s="18"/>
      <c r="L157" s="5">
        <f t="shared" ca="1" si="15"/>
        <v>0.15050000000000011</v>
      </c>
      <c r="M157">
        <f t="shared" ca="1" si="14"/>
        <v>45150.000000000029</v>
      </c>
      <c r="N157" s="4" t="e">
        <f ca="1"/>
        <v>#VALUE!</v>
      </c>
      <c r="O157" s="4">
        <f ca="1"/>
        <v>0</v>
      </c>
      <c r="P157" s="13">
        <f ca="1"/>
        <v>0</v>
      </c>
      <c r="V157" s="2"/>
      <c r="W157" s="5"/>
    </row>
    <row r="158" spans="2:23">
      <c r="B158">
        <f ca="1"/>
        <v>6</v>
      </c>
      <c r="C158">
        <f ca="1"/>
        <v>1000</v>
      </c>
      <c r="D158" s="5">
        <f ca="1"/>
        <v>0.04</v>
      </c>
      <c r="E158" s="2">
        <f ca="1"/>
        <v>0.65</v>
      </c>
      <c r="F158" s="36">
        <f t="shared" ca="1" si="17"/>
        <v>0.2</v>
      </c>
      <c r="G158" s="11">
        <f t="shared" ca="1" si="18"/>
        <v>14</v>
      </c>
      <c r="H158" s="17">
        <f t="shared" ca="1" si="16"/>
        <v>0</v>
      </c>
      <c r="I158" s="18"/>
      <c r="L158" s="5">
        <f t="shared" ca="1" si="15"/>
        <v>0.15150000000000011</v>
      </c>
      <c r="M158">
        <f t="shared" ca="1" si="14"/>
        <v>45450.000000000029</v>
      </c>
      <c r="N158" s="4" t="e">
        <f ca="1"/>
        <v>#VALUE!</v>
      </c>
      <c r="O158" s="4">
        <f ca="1"/>
        <v>0</v>
      </c>
      <c r="P158" s="13">
        <f ca="1"/>
        <v>0</v>
      </c>
      <c r="V158" s="2"/>
      <c r="W158" s="5"/>
    </row>
    <row r="159" spans="2:23">
      <c r="B159">
        <f ca="1"/>
        <v>6</v>
      </c>
      <c r="C159">
        <f ca="1"/>
        <v>1000</v>
      </c>
      <c r="D159" s="5">
        <f ca="1"/>
        <v>0.04</v>
      </c>
      <c r="E159" s="2">
        <f ca="1"/>
        <v>0.65</v>
      </c>
      <c r="F159" s="36">
        <f t="shared" ca="1" si="17"/>
        <v>0.2</v>
      </c>
      <c r="G159" s="11">
        <f t="shared" ca="1" si="18"/>
        <v>14</v>
      </c>
      <c r="H159" s="17">
        <f t="shared" ca="1" si="16"/>
        <v>0</v>
      </c>
      <c r="I159" s="18"/>
      <c r="L159" s="5">
        <f t="shared" ca="1" si="15"/>
        <v>0.15250000000000011</v>
      </c>
      <c r="M159">
        <f t="shared" ca="1" si="14"/>
        <v>45750.000000000029</v>
      </c>
      <c r="N159" s="4" t="e">
        <f ca="1"/>
        <v>#VALUE!</v>
      </c>
      <c r="O159" s="4">
        <f ca="1"/>
        <v>0</v>
      </c>
      <c r="P159" s="13">
        <f ca="1"/>
        <v>0</v>
      </c>
      <c r="V159" s="2"/>
      <c r="W159" s="5"/>
    </row>
    <row r="160" spans="2:23">
      <c r="B160">
        <f ca="1"/>
        <v>6</v>
      </c>
      <c r="C160">
        <f ca="1"/>
        <v>1000</v>
      </c>
      <c r="D160" s="5">
        <f ca="1"/>
        <v>0.04</v>
      </c>
      <c r="E160" s="2">
        <f ca="1"/>
        <v>0.65</v>
      </c>
      <c r="F160" s="36">
        <f t="shared" ca="1" si="17"/>
        <v>0.2</v>
      </c>
      <c r="G160" s="11">
        <f t="shared" ca="1" si="18"/>
        <v>14</v>
      </c>
      <c r="H160" s="17">
        <f t="shared" ca="1" si="16"/>
        <v>0</v>
      </c>
      <c r="I160" s="18"/>
      <c r="L160" s="5">
        <f t="shared" ca="1" si="15"/>
        <v>0.15350000000000011</v>
      </c>
      <c r="M160">
        <f t="shared" ca="1" si="14"/>
        <v>46050.000000000029</v>
      </c>
      <c r="N160" s="4" t="e">
        <f ca="1"/>
        <v>#VALUE!</v>
      </c>
      <c r="O160" s="4">
        <f ca="1"/>
        <v>0</v>
      </c>
      <c r="P160" s="13">
        <f ca="1"/>
        <v>0</v>
      </c>
      <c r="V160" s="2"/>
      <c r="W160" s="5"/>
    </row>
    <row r="161" spans="2:23">
      <c r="B161">
        <f ca="1"/>
        <v>7</v>
      </c>
      <c r="C161">
        <f ca="1"/>
        <v>1000</v>
      </c>
      <c r="D161" s="5">
        <f ca="1"/>
        <v>0.05</v>
      </c>
      <c r="E161" s="2">
        <f ca="1"/>
        <v>0.65</v>
      </c>
      <c r="F161" s="36">
        <f t="shared" ca="1" si="17"/>
        <v>0.2</v>
      </c>
      <c r="G161" s="11">
        <f t="shared" ca="1" si="18"/>
        <v>17.5</v>
      </c>
      <c r="H161" s="17">
        <f t="shared" ca="1" si="16"/>
        <v>0</v>
      </c>
      <c r="I161" s="18"/>
      <c r="L161" s="5">
        <f t="shared" ca="1" si="15"/>
        <v>0.15450000000000011</v>
      </c>
      <c r="M161">
        <f t="shared" ca="1" si="14"/>
        <v>46350.000000000036</v>
      </c>
      <c r="N161" s="4" t="e">
        <f ca="1"/>
        <v>#VALUE!</v>
      </c>
      <c r="O161" s="4">
        <f ca="1"/>
        <v>0</v>
      </c>
      <c r="P161" s="13">
        <f ca="1"/>
        <v>0</v>
      </c>
      <c r="V161" s="2"/>
      <c r="W161" s="5"/>
    </row>
    <row r="162" spans="2:23">
      <c r="B162">
        <f ca="1"/>
        <v>7</v>
      </c>
      <c r="C162">
        <f ca="1"/>
        <v>1000</v>
      </c>
      <c r="D162" s="5">
        <f ca="1"/>
        <v>0.05</v>
      </c>
      <c r="E162" s="2">
        <f ca="1"/>
        <v>0.65</v>
      </c>
      <c r="F162" s="36">
        <f t="shared" ca="1" si="17"/>
        <v>0.2</v>
      </c>
      <c r="G162" s="11">
        <f t="shared" ca="1" si="18"/>
        <v>17.5</v>
      </c>
      <c r="H162" s="17">
        <f t="shared" ca="1" si="16"/>
        <v>0</v>
      </c>
      <c r="I162" s="18"/>
      <c r="L162" s="5">
        <f t="shared" ca="1" si="15"/>
        <v>0.15550000000000011</v>
      </c>
      <c r="M162">
        <f t="shared" ca="1" si="14"/>
        <v>46650.000000000036</v>
      </c>
      <c r="N162" s="4" t="e">
        <f ca="1"/>
        <v>#VALUE!</v>
      </c>
      <c r="O162" s="4">
        <f ca="1"/>
        <v>0</v>
      </c>
      <c r="P162" s="13">
        <f ca="1"/>
        <v>0</v>
      </c>
      <c r="V162" s="2"/>
      <c r="W162" s="5"/>
    </row>
    <row r="163" spans="2:23">
      <c r="B163">
        <f ca="1"/>
        <v>7</v>
      </c>
      <c r="C163">
        <f ca="1"/>
        <v>1000</v>
      </c>
      <c r="D163" s="5">
        <f ca="1"/>
        <v>0.05</v>
      </c>
      <c r="E163" s="2">
        <f ca="1"/>
        <v>0.65</v>
      </c>
      <c r="F163" s="36">
        <f t="shared" ca="1" si="17"/>
        <v>0.2</v>
      </c>
      <c r="G163" s="11">
        <f t="shared" ca="1" si="18"/>
        <v>17.5</v>
      </c>
      <c r="H163" s="17">
        <f t="shared" ca="1" si="16"/>
        <v>0</v>
      </c>
      <c r="I163" s="18"/>
      <c r="L163" s="5">
        <f t="shared" ca="1" si="15"/>
        <v>0.15650000000000011</v>
      </c>
      <c r="M163">
        <f t="shared" ca="1" si="14"/>
        <v>46950.000000000036</v>
      </c>
      <c r="N163" s="4" t="e">
        <f ca="1"/>
        <v>#VALUE!</v>
      </c>
      <c r="O163" s="4">
        <f ca="1"/>
        <v>0</v>
      </c>
      <c r="P163" s="13">
        <f ca="1"/>
        <v>0</v>
      </c>
      <c r="V163" s="2"/>
      <c r="W163" s="5"/>
    </row>
    <row r="164" spans="2:23">
      <c r="B164">
        <f ca="1"/>
        <v>7</v>
      </c>
      <c r="C164">
        <f ca="1"/>
        <v>1000</v>
      </c>
      <c r="D164" s="5">
        <f ca="1"/>
        <v>0.05</v>
      </c>
      <c r="E164" s="2">
        <f ca="1"/>
        <v>0.65</v>
      </c>
      <c r="F164" s="36">
        <f t="shared" ca="1" si="17"/>
        <v>0.2</v>
      </c>
      <c r="G164" s="11">
        <f t="shared" ca="1" si="18"/>
        <v>17.5</v>
      </c>
      <c r="H164" s="17">
        <f t="shared" ca="1" si="16"/>
        <v>0</v>
      </c>
      <c r="I164" s="18"/>
      <c r="L164" s="5">
        <f t="shared" ca="1" si="15"/>
        <v>0.15750000000000011</v>
      </c>
      <c r="M164">
        <f t="shared" ca="1" si="14"/>
        <v>47250.000000000036</v>
      </c>
      <c r="N164" s="4" t="e">
        <f ca="1"/>
        <v>#VALUE!</v>
      </c>
      <c r="O164" s="4">
        <f ca="1"/>
        <v>0</v>
      </c>
      <c r="P164" s="13">
        <f ca="1"/>
        <v>0</v>
      </c>
      <c r="V164" s="2"/>
      <c r="W164" s="5"/>
    </row>
    <row r="165" spans="2:23">
      <c r="B165">
        <f ca="1"/>
        <v>7</v>
      </c>
      <c r="C165">
        <f ca="1"/>
        <v>1000</v>
      </c>
      <c r="D165" s="5">
        <f ca="1"/>
        <v>0.05</v>
      </c>
      <c r="E165" s="2">
        <f ca="1"/>
        <v>0.65</v>
      </c>
      <c r="F165" s="36">
        <f t="shared" ca="1" si="17"/>
        <v>0.2</v>
      </c>
      <c r="G165" s="11">
        <f t="shared" ca="1" si="18"/>
        <v>17.5</v>
      </c>
      <c r="H165" s="17">
        <f t="shared" ca="1" si="16"/>
        <v>0</v>
      </c>
      <c r="I165" s="18"/>
      <c r="L165" s="5">
        <f t="shared" ca="1" si="15"/>
        <v>0.15850000000000011</v>
      </c>
      <c r="M165">
        <f t="shared" ca="1" si="14"/>
        <v>47550.000000000036</v>
      </c>
      <c r="N165" s="4" t="e">
        <f ca="1"/>
        <v>#VALUE!</v>
      </c>
      <c r="O165" s="4">
        <f ca="1"/>
        <v>0</v>
      </c>
      <c r="P165" s="13">
        <f ca="1"/>
        <v>0</v>
      </c>
      <c r="V165" s="2"/>
      <c r="W165" s="5"/>
    </row>
    <row r="166" spans="2:23">
      <c r="B166">
        <f ca="1"/>
        <v>7</v>
      </c>
      <c r="C166">
        <f ca="1"/>
        <v>1000</v>
      </c>
      <c r="D166" s="5">
        <f ca="1"/>
        <v>0.05</v>
      </c>
      <c r="E166" s="2">
        <f ca="1"/>
        <v>0.65</v>
      </c>
      <c r="F166" s="36">
        <f t="shared" ca="1" si="17"/>
        <v>0.2</v>
      </c>
      <c r="G166" s="11">
        <f t="shared" ca="1" si="18"/>
        <v>17.5</v>
      </c>
      <c r="H166" s="17">
        <f t="shared" ca="1" si="16"/>
        <v>0</v>
      </c>
      <c r="I166" s="18"/>
      <c r="L166" s="5">
        <f t="shared" ca="1" si="15"/>
        <v>0.15950000000000011</v>
      </c>
      <c r="M166">
        <f t="shared" ca="1" si="14"/>
        <v>47850.000000000036</v>
      </c>
      <c r="N166" s="4" t="e">
        <f ca="1"/>
        <v>#VALUE!</v>
      </c>
      <c r="O166" s="4">
        <f ca="1"/>
        <v>0</v>
      </c>
      <c r="P166" s="13">
        <f ca="1"/>
        <v>0</v>
      </c>
    </row>
    <row r="167" spans="2:23">
      <c r="B167">
        <f ca="1"/>
        <v>7</v>
      </c>
      <c r="C167">
        <f ca="1"/>
        <v>1000</v>
      </c>
      <c r="D167" s="5">
        <f ca="1"/>
        <v>0.05</v>
      </c>
      <c r="E167" s="2">
        <f ca="1"/>
        <v>0.65</v>
      </c>
      <c r="F167" s="36">
        <f t="shared" ca="1" si="17"/>
        <v>0.2</v>
      </c>
      <c r="G167" s="11">
        <f t="shared" ca="1" si="18"/>
        <v>17.5</v>
      </c>
      <c r="H167" s="17">
        <f t="shared" ca="1" si="16"/>
        <v>0</v>
      </c>
      <c r="I167" s="18"/>
      <c r="L167" s="5">
        <f t="shared" ca="1" si="15"/>
        <v>0.16050000000000011</v>
      </c>
      <c r="M167">
        <f t="shared" ca="1" si="14"/>
        <v>48150.000000000036</v>
      </c>
      <c r="N167" s="4" t="e">
        <f ca="1"/>
        <v>#VALUE!</v>
      </c>
      <c r="O167" s="4">
        <f ca="1"/>
        <v>0</v>
      </c>
      <c r="P167" s="13">
        <f ca="1"/>
        <v>0</v>
      </c>
    </row>
    <row r="168" spans="2:23">
      <c r="B168">
        <f ca="1"/>
        <v>7</v>
      </c>
      <c r="C168">
        <f ca="1"/>
        <v>1000</v>
      </c>
      <c r="D168" s="5">
        <f ca="1"/>
        <v>0.05</v>
      </c>
      <c r="E168" s="2">
        <f ca="1"/>
        <v>0.65</v>
      </c>
      <c r="F168" s="36">
        <f t="shared" ca="1" si="17"/>
        <v>0.2</v>
      </c>
      <c r="G168" s="11">
        <f t="shared" ca="1" si="18"/>
        <v>17.5</v>
      </c>
      <c r="H168" s="17">
        <f t="shared" ca="1" si="16"/>
        <v>0</v>
      </c>
      <c r="I168" s="18"/>
      <c r="L168" s="5">
        <f t="shared" ca="1" si="15"/>
        <v>0.16150000000000012</v>
      </c>
      <c r="M168">
        <f t="shared" ca="1" si="14"/>
        <v>48450.000000000036</v>
      </c>
      <c r="N168" s="4" t="e">
        <f ca="1"/>
        <v>#VALUE!</v>
      </c>
      <c r="O168" s="4">
        <f ca="1"/>
        <v>0</v>
      </c>
      <c r="P168" s="13">
        <f ca="1"/>
        <v>0</v>
      </c>
    </row>
    <row r="169" spans="2:23">
      <c r="B169">
        <f ca="1"/>
        <v>7</v>
      </c>
      <c r="C169">
        <f ca="1"/>
        <v>1000</v>
      </c>
      <c r="D169" s="5">
        <f ca="1"/>
        <v>0.05</v>
      </c>
      <c r="E169" s="2">
        <f ca="1"/>
        <v>0.65</v>
      </c>
      <c r="F169" s="36">
        <f t="shared" ca="1" si="17"/>
        <v>0.2</v>
      </c>
      <c r="G169" s="11">
        <f t="shared" ca="1" si="18"/>
        <v>17.5</v>
      </c>
      <c r="H169" s="17">
        <f t="shared" ca="1" si="16"/>
        <v>0</v>
      </c>
      <c r="I169" s="18"/>
      <c r="L169" s="5">
        <f t="shared" ca="1" si="15"/>
        <v>0.16250000000000012</v>
      </c>
      <c r="M169">
        <f t="shared" ca="1" si="14"/>
        <v>48750.000000000036</v>
      </c>
      <c r="N169" s="4" t="e">
        <f ca="1"/>
        <v>#VALUE!</v>
      </c>
      <c r="O169" s="4">
        <f ca="1"/>
        <v>0</v>
      </c>
      <c r="P169" s="13">
        <f ca="1"/>
        <v>0</v>
      </c>
    </row>
    <row r="170" spans="2:23">
      <c r="B170">
        <f ca="1"/>
        <v>7</v>
      </c>
      <c r="C170">
        <f ca="1"/>
        <v>1000</v>
      </c>
      <c r="D170" s="5">
        <f ca="1"/>
        <v>0.05</v>
      </c>
      <c r="E170" s="2">
        <f ca="1"/>
        <v>0.65</v>
      </c>
      <c r="F170" s="36">
        <f t="shared" ca="1" si="17"/>
        <v>0.2</v>
      </c>
      <c r="G170" s="11">
        <f t="shared" ca="1" si="18"/>
        <v>17.5</v>
      </c>
      <c r="H170" s="17">
        <f t="shared" ca="1" si="16"/>
        <v>0</v>
      </c>
      <c r="I170" s="18"/>
      <c r="L170" s="5">
        <f t="shared" ca="1" si="15"/>
        <v>0.16350000000000012</v>
      </c>
      <c r="M170">
        <f t="shared" ca="1" si="14"/>
        <v>49050.000000000036</v>
      </c>
      <c r="N170" s="4" t="e">
        <f ca="1"/>
        <v>#VALUE!</v>
      </c>
      <c r="O170" s="4">
        <f ca="1"/>
        <v>0</v>
      </c>
      <c r="P170" s="13">
        <f ca="1"/>
        <v>0</v>
      </c>
    </row>
    <row r="171" spans="2:23">
      <c r="B171">
        <f ca="1"/>
        <v>8</v>
      </c>
      <c r="C171">
        <f ca="1"/>
        <v>1000</v>
      </c>
      <c r="D171" s="5">
        <f ca="1"/>
        <v>0.1</v>
      </c>
      <c r="E171" s="2">
        <f ca="1"/>
        <v>0.65</v>
      </c>
      <c r="F171" s="36">
        <f t="shared" ca="1" si="17"/>
        <v>0.2</v>
      </c>
      <c r="G171" s="11">
        <f t="shared" ca="1" si="18"/>
        <v>35</v>
      </c>
      <c r="H171" s="17">
        <f t="shared" ca="1" si="16"/>
        <v>0</v>
      </c>
      <c r="I171" s="18"/>
      <c r="L171" s="5">
        <f t="shared" ca="1" si="15"/>
        <v>0.16450000000000012</v>
      </c>
      <c r="M171">
        <f t="shared" ca="1" si="14"/>
        <v>49350.000000000036</v>
      </c>
      <c r="N171" s="4" t="e">
        <f ca="1"/>
        <v>#VALUE!</v>
      </c>
      <c r="O171" s="4">
        <f ca="1"/>
        <v>0</v>
      </c>
      <c r="P171" s="13">
        <f ca="1"/>
        <v>0</v>
      </c>
    </row>
    <row r="172" spans="2:23">
      <c r="B172">
        <f ca="1"/>
        <v>8</v>
      </c>
      <c r="C172">
        <f ca="1"/>
        <v>1000</v>
      </c>
      <c r="D172" s="5">
        <f ca="1"/>
        <v>0.1</v>
      </c>
      <c r="E172" s="2">
        <f ca="1"/>
        <v>0.65</v>
      </c>
      <c r="F172" s="36">
        <f t="shared" ca="1" si="17"/>
        <v>0.2</v>
      </c>
      <c r="G172" s="11">
        <f t="shared" ca="1" si="18"/>
        <v>35</v>
      </c>
      <c r="H172" s="17">
        <f t="shared" ca="1" si="16"/>
        <v>0</v>
      </c>
      <c r="I172" s="18"/>
      <c r="L172" s="5">
        <f t="shared" ca="1" si="15"/>
        <v>0.16550000000000012</v>
      </c>
      <c r="M172">
        <f t="shared" ca="1" si="14"/>
        <v>49650.000000000036</v>
      </c>
      <c r="N172" s="4" t="e">
        <f ca="1"/>
        <v>#VALUE!</v>
      </c>
      <c r="O172" s="4">
        <f ca="1"/>
        <v>0</v>
      </c>
      <c r="P172" s="13">
        <f ca="1"/>
        <v>0</v>
      </c>
    </row>
    <row r="173" spans="2:23">
      <c r="B173">
        <f ca="1"/>
        <v>8</v>
      </c>
      <c r="C173">
        <f ca="1"/>
        <v>1000</v>
      </c>
      <c r="D173" s="5">
        <f ca="1"/>
        <v>0.1</v>
      </c>
      <c r="E173" s="2">
        <f ca="1"/>
        <v>0.65</v>
      </c>
      <c r="F173" s="36">
        <f t="shared" ca="1" si="17"/>
        <v>0.2</v>
      </c>
      <c r="G173" s="11">
        <f t="shared" ca="1" si="18"/>
        <v>35</v>
      </c>
      <c r="H173" s="17">
        <f t="shared" ca="1" si="16"/>
        <v>0</v>
      </c>
      <c r="I173" s="18"/>
      <c r="L173" s="5">
        <f t="shared" ca="1" si="15"/>
        <v>0.16650000000000012</v>
      </c>
      <c r="M173">
        <f t="shared" ca="1" si="14"/>
        <v>49950.000000000036</v>
      </c>
      <c r="N173" s="4" t="e">
        <f ca="1"/>
        <v>#VALUE!</v>
      </c>
      <c r="O173" s="4">
        <f ca="1"/>
        <v>0</v>
      </c>
      <c r="P173" s="13">
        <f ca="1"/>
        <v>0</v>
      </c>
    </row>
    <row r="174" spans="2:23">
      <c r="B174">
        <f ca="1"/>
        <v>8</v>
      </c>
      <c r="C174">
        <f ca="1"/>
        <v>1000</v>
      </c>
      <c r="D174" s="5">
        <f ca="1"/>
        <v>0.1</v>
      </c>
      <c r="E174" s="2">
        <f ca="1"/>
        <v>0.65</v>
      </c>
      <c r="F174" s="36">
        <f t="shared" ca="1" si="17"/>
        <v>0.2</v>
      </c>
      <c r="G174" s="11">
        <f t="shared" ca="1" si="18"/>
        <v>35</v>
      </c>
      <c r="H174" s="17">
        <f t="shared" ca="1" si="16"/>
        <v>0</v>
      </c>
      <c r="I174" s="18"/>
      <c r="L174" s="5">
        <f t="shared" ca="1" si="15"/>
        <v>0.16750000000000012</v>
      </c>
      <c r="M174">
        <f t="shared" ca="1" si="14"/>
        <v>50250.000000000036</v>
      </c>
      <c r="N174" s="4" t="e">
        <f ca="1"/>
        <v>#VALUE!</v>
      </c>
      <c r="O174" s="4">
        <f ca="1"/>
        <v>0</v>
      </c>
      <c r="P174" s="13">
        <f ca="1"/>
        <v>0</v>
      </c>
    </row>
    <row r="175" spans="2:23">
      <c r="B175">
        <f ca="1"/>
        <v>8</v>
      </c>
      <c r="C175">
        <f ca="1"/>
        <v>1000</v>
      </c>
      <c r="D175" s="5">
        <f ca="1"/>
        <v>0.1</v>
      </c>
      <c r="E175" s="2">
        <f ca="1"/>
        <v>0.65</v>
      </c>
      <c r="F175" s="36">
        <f t="shared" ca="1" si="17"/>
        <v>0.2</v>
      </c>
      <c r="G175" s="11">
        <f t="shared" ca="1" si="18"/>
        <v>35</v>
      </c>
      <c r="H175" s="17">
        <f t="shared" ca="1" si="16"/>
        <v>0</v>
      </c>
      <c r="L175" s="5">
        <f t="shared" ca="1" si="15"/>
        <v>0.16850000000000012</v>
      </c>
      <c r="M175">
        <f t="shared" ca="1" si="14"/>
        <v>50550.000000000036</v>
      </c>
      <c r="N175" s="4" t="e">
        <f ca="1"/>
        <v>#VALUE!</v>
      </c>
      <c r="O175" s="4">
        <f ca="1"/>
        <v>0</v>
      </c>
      <c r="P175" s="13">
        <f ca="1"/>
        <v>0</v>
      </c>
    </row>
    <row r="176" spans="2:23">
      <c r="L176" s="5">
        <f t="shared" ca="1" si="15"/>
        <v>0.16950000000000012</v>
      </c>
      <c r="M176">
        <f t="shared" ca="1" si="14"/>
        <v>50850.000000000036</v>
      </c>
      <c r="N176" s="4" t="e">
        <f ca="1"/>
        <v>#VALUE!</v>
      </c>
      <c r="O176" s="4">
        <f ca="1"/>
        <v>0</v>
      </c>
      <c r="P176" s="13">
        <f ca="1"/>
        <v>0</v>
      </c>
    </row>
    <row r="177" spans="12:16">
      <c r="L177" s="5">
        <f t="shared" ca="1" si="15"/>
        <v>0.17050000000000012</v>
      </c>
      <c r="M177">
        <f t="shared" ca="1" si="14"/>
        <v>51150.000000000036</v>
      </c>
      <c r="N177" s="4" t="e">
        <f ca="1"/>
        <v>#VALUE!</v>
      </c>
      <c r="O177" s="4">
        <f ca="1"/>
        <v>0</v>
      </c>
      <c r="P177" s="13">
        <f ca="1"/>
        <v>0</v>
      </c>
    </row>
    <row r="178" spans="12:16">
      <c r="L178" s="5">
        <f t="shared" ca="1" si="15"/>
        <v>0.17150000000000012</v>
      </c>
      <c r="M178">
        <f t="shared" ca="1" si="14"/>
        <v>51450.000000000036</v>
      </c>
      <c r="N178" s="4" t="e">
        <f ca="1"/>
        <v>#VALUE!</v>
      </c>
      <c r="O178" s="4">
        <f ca="1"/>
        <v>0</v>
      </c>
      <c r="P178" s="13">
        <f ca="1"/>
        <v>0</v>
      </c>
    </row>
    <row r="179" spans="12:16">
      <c r="L179" s="5">
        <f t="shared" ca="1" si="15"/>
        <v>0.17250000000000013</v>
      </c>
      <c r="M179">
        <f t="shared" ca="1" si="14"/>
        <v>51750.000000000036</v>
      </c>
      <c r="N179" s="4" t="e">
        <f ca="1"/>
        <v>#VALUE!</v>
      </c>
      <c r="O179" s="4">
        <f ca="1"/>
        <v>0</v>
      </c>
      <c r="P179" s="13">
        <f ca="1"/>
        <v>0</v>
      </c>
    </row>
    <row r="180" spans="12:16">
      <c r="L180" s="5">
        <f t="shared" ca="1" si="15"/>
        <v>0.17350000000000013</v>
      </c>
      <c r="M180">
        <f t="shared" ca="1" si="14"/>
        <v>52050.000000000036</v>
      </c>
      <c r="N180" s="4" t="e">
        <f ca="1"/>
        <v>#VALUE!</v>
      </c>
      <c r="O180" s="4">
        <f ca="1"/>
        <v>0</v>
      </c>
      <c r="P180" s="13">
        <f ca="1"/>
        <v>0</v>
      </c>
    </row>
    <row r="181" spans="12:16">
      <c r="L181" s="5">
        <f t="shared" ca="1" si="15"/>
        <v>0.17450000000000013</v>
      </c>
      <c r="M181">
        <f t="shared" ca="1" si="14"/>
        <v>52350.000000000036</v>
      </c>
      <c r="N181" s="4" t="e">
        <f ca="1"/>
        <v>#VALUE!</v>
      </c>
      <c r="O181" s="4">
        <f ca="1"/>
        <v>0</v>
      </c>
      <c r="P181" s="13">
        <f ca="1"/>
        <v>0</v>
      </c>
    </row>
    <row r="182" spans="12:16">
      <c r="L182" s="5">
        <f t="shared" ca="1" si="15"/>
        <v>0.17550000000000013</v>
      </c>
      <c r="M182">
        <f t="shared" ca="1" si="14"/>
        <v>52650.000000000036</v>
      </c>
      <c r="N182" s="4" t="e">
        <f ca="1"/>
        <v>#VALUE!</v>
      </c>
      <c r="O182" s="4">
        <f ca="1"/>
        <v>0</v>
      </c>
      <c r="P182" s="13">
        <f ca="1"/>
        <v>0</v>
      </c>
    </row>
    <row r="183" spans="12:16">
      <c r="L183" s="5">
        <f t="shared" ca="1" si="15"/>
        <v>0.17650000000000013</v>
      </c>
      <c r="M183">
        <f t="shared" ca="1" si="14"/>
        <v>52950.000000000036</v>
      </c>
      <c r="N183" s="4" t="e">
        <f ca="1"/>
        <v>#VALUE!</v>
      </c>
      <c r="O183" s="4">
        <f ca="1"/>
        <v>0</v>
      </c>
      <c r="P183" s="13">
        <f ca="1"/>
        <v>0</v>
      </c>
    </row>
    <row r="184" spans="12:16">
      <c r="L184" s="5">
        <f t="shared" ca="1" si="15"/>
        <v>0.17750000000000013</v>
      </c>
      <c r="M184">
        <f t="shared" ca="1" si="14"/>
        <v>53250.000000000036</v>
      </c>
      <c r="N184" s="4" t="e">
        <f ca="1"/>
        <v>#VALUE!</v>
      </c>
      <c r="O184" s="4">
        <f ca="1"/>
        <v>0</v>
      </c>
      <c r="P184" s="13">
        <f ca="1"/>
        <v>0</v>
      </c>
    </row>
    <row r="185" spans="12:16">
      <c r="L185" s="5">
        <f t="shared" ca="1" si="15"/>
        <v>0.17850000000000013</v>
      </c>
      <c r="M185">
        <f t="shared" ca="1" si="14"/>
        <v>53550.000000000036</v>
      </c>
      <c r="N185" s="4" t="e">
        <f ca="1"/>
        <v>#VALUE!</v>
      </c>
      <c r="O185" s="4">
        <f ca="1"/>
        <v>0</v>
      </c>
      <c r="P185" s="13">
        <f ca="1"/>
        <v>0</v>
      </c>
    </row>
    <row r="186" spans="12:16">
      <c r="L186" s="5">
        <f t="shared" ca="1" si="15"/>
        <v>0.17950000000000013</v>
      </c>
      <c r="M186">
        <f t="shared" ca="1" si="14"/>
        <v>53850.000000000036</v>
      </c>
      <c r="N186" s="4" t="e">
        <f ca="1"/>
        <v>#VALUE!</v>
      </c>
      <c r="O186" s="4">
        <f ca="1"/>
        <v>0</v>
      </c>
      <c r="P186" s="13">
        <f ca="1"/>
        <v>0</v>
      </c>
    </row>
    <row r="187" spans="12:16">
      <c r="L187" s="5">
        <f t="shared" ca="1" si="15"/>
        <v>0.18050000000000013</v>
      </c>
      <c r="M187">
        <f t="shared" ca="1" si="14"/>
        <v>54150.000000000036</v>
      </c>
      <c r="N187" s="4" t="e">
        <f ca="1"/>
        <v>#VALUE!</v>
      </c>
      <c r="O187" s="4">
        <f ca="1"/>
        <v>0</v>
      </c>
      <c r="P187" s="13">
        <f ca="1"/>
        <v>0</v>
      </c>
    </row>
    <row r="188" spans="12:16">
      <c r="L188" s="5">
        <f t="shared" ca="1" si="15"/>
        <v>0.18150000000000013</v>
      </c>
      <c r="M188">
        <f t="shared" ca="1" si="14"/>
        <v>54450.000000000044</v>
      </c>
      <c r="N188" s="4" t="e">
        <f ca="1"/>
        <v>#VALUE!</v>
      </c>
      <c r="O188" s="4">
        <f ca="1"/>
        <v>0</v>
      </c>
      <c r="P188" s="13">
        <f ca="1"/>
        <v>0</v>
      </c>
    </row>
    <row r="189" spans="12:16">
      <c r="L189" s="5">
        <f t="shared" ca="1" si="15"/>
        <v>0.18250000000000013</v>
      </c>
      <c r="M189">
        <f t="shared" ca="1" si="14"/>
        <v>54750.000000000044</v>
      </c>
      <c r="N189" s="4" t="e">
        <f ca="1"/>
        <v>#VALUE!</v>
      </c>
      <c r="O189" s="4">
        <f ca="1"/>
        <v>0</v>
      </c>
      <c r="P189" s="13">
        <f ca="1"/>
        <v>0</v>
      </c>
    </row>
    <row r="190" spans="12:16">
      <c r="L190" s="5">
        <f t="shared" ca="1" si="15"/>
        <v>0.18350000000000014</v>
      </c>
      <c r="M190">
        <f t="shared" ca="1" si="14"/>
        <v>55050.000000000044</v>
      </c>
      <c r="N190" s="4" t="e">
        <f ca="1"/>
        <v>#VALUE!</v>
      </c>
      <c r="O190" s="4">
        <f ca="1"/>
        <v>0</v>
      </c>
      <c r="P190" s="13">
        <f ca="1"/>
        <v>0</v>
      </c>
    </row>
    <row r="191" spans="12:16">
      <c r="L191" s="5">
        <f t="shared" ca="1" si="15"/>
        <v>0.18450000000000014</v>
      </c>
      <c r="M191">
        <f t="shared" ca="1" si="14"/>
        <v>55350.000000000044</v>
      </c>
      <c r="N191" s="4" t="e">
        <f ca="1"/>
        <v>#VALUE!</v>
      </c>
      <c r="O191" s="4">
        <f ca="1"/>
        <v>0</v>
      </c>
      <c r="P191" s="13">
        <f ca="1"/>
        <v>0</v>
      </c>
    </row>
    <row r="192" spans="12:16">
      <c r="L192" s="5">
        <f t="shared" ca="1" si="15"/>
        <v>0.18550000000000014</v>
      </c>
      <c r="M192">
        <f t="shared" ca="1" si="14"/>
        <v>55650.000000000044</v>
      </c>
      <c r="N192" s="4" t="e">
        <f ca="1"/>
        <v>#VALUE!</v>
      </c>
      <c r="O192" s="4">
        <f ca="1"/>
        <v>0</v>
      </c>
      <c r="P192" s="13">
        <f ca="1"/>
        <v>0</v>
      </c>
    </row>
    <row r="193" spans="12:16">
      <c r="L193" s="5">
        <f t="shared" ca="1" si="15"/>
        <v>0.18650000000000014</v>
      </c>
      <c r="M193">
        <f t="shared" ca="1" si="14"/>
        <v>55950.000000000044</v>
      </c>
      <c r="N193" s="4" t="e">
        <f ca="1"/>
        <v>#VALUE!</v>
      </c>
      <c r="O193" s="4">
        <f ca="1"/>
        <v>0</v>
      </c>
      <c r="P193" s="13">
        <f ca="1"/>
        <v>0</v>
      </c>
    </row>
    <row r="194" spans="12:16">
      <c r="L194" s="5">
        <f t="shared" ca="1" si="15"/>
        <v>0.18750000000000014</v>
      </c>
      <c r="M194">
        <f t="shared" ca="1" si="14"/>
        <v>56250.000000000044</v>
      </c>
      <c r="N194" s="4" t="e">
        <f ca="1"/>
        <v>#VALUE!</v>
      </c>
      <c r="O194" s="4">
        <f ca="1"/>
        <v>0</v>
      </c>
      <c r="P194" s="13">
        <f ca="1"/>
        <v>0</v>
      </c>
    </row>
    <row r="195" spans="12:16">
      <c r="L195" s="5">
        <f t="shared" ca="1" si="15"/>
        <v>0.18850000000000014</v>
      </c>
      <c r="M195">
        <f t="shared" ca="1" si="14"/>
        <v>56550.000000000044</v>
      </c>
      <c r="N195" s="4" t="e">
        <f ca="1"/>
        <v>#VALUE!</v>
      </c>
      <c r="O195" s="4">
        <f ca="1"/>
        <v>0</v>
      </c>
      <c r="P195" s="13">
        <f ca="1"/>
        <v>0</v>
      </c>
    </row>
    <row r="196" spans="12:16">
      <c r="L196" s="5">
        <f t="shared" ca="1" si="15"/>
        <v>0.18950000000000014</v>
      </c>
      <c r="M196">
        <f t="shared" ca="1" si="14"/>
        <v>56850.000000000044</v>
      </c>
      <c r="N196" s="4" t="e">
        <f ca="1"/>
        <v>#VALUE!</v>
      </c>
      <c r="O196" s="4">
        <f ca="1"/>
        <v>0</v>
      </c>
      <c r="P196" s="13">
        <f ca="1"/>
        <v>0</v>
      </c>
    </row>
    <row r="197" spans="12:16">
      <c r="L197" s="5">
        <f t="shared" ca="1" si="15"/>
        <v>0.19050000000000014</v>
      </c>
      <c r="M197">
        <f t="shared" ca="1" si="14"/>
        <v>57150.000000000044</v>
      </c>
      <c r="N197" s="4" t="e">
        <f ca="1"/>
        <v>#VALUE!</v>
      </c>
      <c r="O197" s="4">
        <f ca="1"/>
        <v>0</v>
      </c>
      <c r="P197" s="13">
        <f ca="1"/>
        <v>0</v>
      </c>
    </row>
    <row r="198" spans="12:16">
      <c r="L198" s="5">
        <f t="shared" ca="1" si="15"/>
        <v>0.19150000000000014</v>
      </c>
      <c r="M198">
        <f t="shared" ref="M198:M261" ca="1" si="19">L198*$K$10</f>
        <v>57450.000000000044</v>
      </c>
      <c r="N198" s="4" t="e">
        <f ca="1"/>
        <v>#VALUE!</v>
      </c>
      <c r="O198" s="4">
        <f ca="1"/>
        <v>0</v>
      </c>
      <c r="P198" s="13">
        <f ca="1"/>
        <v>0</v>
      </c>
    </row>
    <row r="199" spans="12:16">
      <c r="L199" s="5">
        <f t="shared" ca="1" si="15"/>
        <v>0.19250000000000014</v>
      </c>
      <c r="M199">
        <f t="shared" ca="1" si="19"/>
        <v>57750.000000000044</v>
      </c>
      <c r="N199" s="4" t="e">
        <f ca="1"/>
        <v>#VALUE!</v>
      </c>
      <c r="O199" s="4">
        <f ca="1"/>
        <v>0</v>
      </c>
      <c r="P199" s="13">
        <f ca="1"/>
        <v>0</v>
      </c>
    </row>
    <row r="200" spans="12:16">
      <c r="L200" s="5">
        <f t="shared" ref="L200:L263" ca="1" si="20">L199+1/$K$7</f>
        <v>0.19350000000000014</v>
      </c>
      <c r="M200">
        <f t="shared" ca="1" si="19"/>
        <v>58050.000000000044</v>
      </c>
      <c r="N200" s="4" t="e">
        <f ca="1"/>
        <v>#VALUE!</v>
      </c>
      <c r="O200" s="4">
        <f ca="1"/>
        <v>0</v>
      </c>
      <c r="P200" s="13">
        <f ca="1"/>
        <v>0</v>
      </c>
    </row>
    <row r="201" spans="12:16">
      <c r="L201" s="5">
        <f t="shared" ca="1" si="20"/>
        <v>0.19450000000000014</v>
      </c>
      <c r="M201">
        <f t="shared" ca="1" si="19"/>
        <v>58350.000000000044</v>
      </c>
      <c r="N201" s="4" t="e">
        <f ca="1"/>
        <v>#VALUE!</v>
      </c>
      <c r="O201" s="4">
        <f ca="1"/>
        <v>0</v>
      </c>
      <c r="P201" s="13">
        <f ca="1"/>
        <v>0</v>
      </c>
    </row>
    <row r="202" spans="12:16">
      <c r="L202" s="5">
        <f t="shared" ca="1" si="20"/>
        <v>0.19550000000000015</v>
      </c>
      <c r="M202">
        <f t="shared" ca="1" si="19"/>
        <v>58650.000000000044</v>
      </c>
      <c r="N202" s="4" t="e">
        <f ca="1"/>
        <v>#VALUE!</v>
      </c>
      <c r="O202" s="4">
        <f ca="1"/>
        <v>0</v>
      </c>
      <c r="P202" s="13">
        <f ca="1"/>
        <v>0</v>
      </c>
    </row>
    <row r="203" spans="12:16">
      <c r="L203" s="5">
        <f t="shared" ca="1" si="20"/>
        <v>0.19650000000000015</v>
      </c>
      <c r="M203">
        <f t="shared" ca="1" si="19"/>
        <v>58950.000000000044</v>
      </c>
      <c r="N203" s="4" t="e">
        <f ca="1"/>
        <v>#VALUE!</v>
      </c>
      <c r="O203" s="4">
        <f ca="1"/>
        <v>0</v>
      </c>
      <c r="P203" s="13">
        <f ca="1"/>
        <v>0</v>
      </c>
    </row>
    <row r="204" spans="12:16">
      <c r="L204" s="5">
        <f t="shared" ca="1" si="20"/>
        <v>0.19750000000000015</v>
      </c>
      <c r="M204">
        <f t="shared" ca="1" si="19"/>
        <v>59250.000000000044</v>
      </c>
      <c r="N204" s="4" t="e">
        <f ca="1"/>
        <v>#VALUE!</v>
      </c>
      <c r="O204" s="4">
        <f ca="1"/>
        <v>0</v>
      </c>
      <c r="P204" s="13">
        <f ca="1"/>
        <v>0</v>
      </c>
    </row>
    <row r="205" spans="12:16">
      <c r="L205" s="5">
        <f t="shared" ca="1" si="20"/>
        <v>0.19850000000000015</v>
      </c>
      <c r="M205">
        <f t="shared" ca="1" si="19"/>
        <v>59550.000000000044</v>
      </c>
      <c r="N205" s="4" t="e">
        <f ca="1"/>
        <v>#VALUE!</v>
      </c>
      <c r="O205" s="4">
        <f ca="1"/>
        <v>0</v>
      </c>
      <c r="P205" s="13">
        <f ca="1"/>
        <v>0</v>
      </c>
    </row>
    <row r="206" spans="12:16">
      <c r="L206" s="5">
        <f t="shared" ca="1" si="20"/>
        <v>0.19950000000000015</v>
      </c>
      <c r="M206">
        <f t="shared" ca="1" si="19"/>
        <v>59850.000000000044</v>
      </c>
      <c r="N206" s="4" t="e">
        <f ca="1"/>
        <v>#VALUE!</v>
      </c>
      <c r="O206" s="4">
        <f ca="1"/>
        <v>0</v>
      </c>
      <c r="P206" s="13">
        <f ca="1"/>
        <v>0</v>
      </c>
    </row>
    <row r="207" spans="12:16">
      <c r="L207" s="5">
        <f t="shared" ca="1" si="20"/>
        <v>0.20050000000000015</v>
      </c>
      <c r="M207">
        <f t="shared" ca="1" si="19"/>
        <v>60150.000000000044</v>
      </c>
      <c r="N207" s="4" t="e">
        <f ca="1"/>
        <v>#VALUE!</v>
      </c>
      <c r="O207" s="4">
        <f ca="1"/>
        <v>0</v>
      </c>
      <c r="P207" s="13">
        <f ca="1"/>
        <v>0</v>
      </c>
    </row>
    <row r="208" spans="12:16">
      <c r="L208" s="5">
        <f t="shared" ca="1" si="20"/>
        <v>0.20150000000000015</v>
      </c>
      <c r="M208">
        <f t="shared" ca="1" si="19"/>
        <v>60450.000000000044</v>
      </c>
      <c r="N208" s="4" t="e">
        <f ca="1"/>
        <v>#VALUE!</v>
      </c>
      <c r="O208" s="4">
        <f ca="1"/>
        <v>0</v>
      </c>
      <c r="P208" s="13">
        <f ca="1"/>
        <v>0</v>
      </c>
    </row>
    <row r="209" spans="12:16">
      <c r="L209" s="5">
        <f t="shared" ca="1" si="20"/>
        <v>0.20250000000000015</v>
      </c>
      <c r="M209">
        <f t="shared" ca="1" si="19"/>
        <v>60750.000000000044</v>
      </c>
      <c r="N209" s="4" t="e">
        <f ca="1"/>
        <v>#VALUE!</v>
      </c>
      <c r="O209" s="4">
        <f ca="1"/>
        <v>0</v>
      </c>
      <c r="P209" s="13">
        <f ca="1"/>
        <v>0</v>
      </c>
    </row>
    <row r="210" spans="12:16">
      <c r="L210" s="5">
        <f t="shared" ca="1" si="20"/>
        <v>0.20350000000000015</v>
      </c>
      <c r="M210">
        <f t="shared" ca="1" si="19"/>
        <v>61050.000000000044</v>
      </c>
      <c r="N210" s="4" t="e">
        <f ca="1"/>
        <v>#VALUE!</v>
      </c>
      <c r="O210" s="4">
        <f ca="1"/>
        <v>0</v>
      </c>
      <c r="P210" s="13">
        <f ca="1"/>
        <v>0</v>
      </c>
    </row>
    <row r="211" spans="12:16">
      <c r="L211" s="5">
        <f t="shared" ca="1" si="20"/>
        <v>0.20450000000000015</v>
      </c>
      <c r="M211">
        <f t="shared" ca="1" si="19"/>
        <v>61350.000000000044</v>
      </c>
      <c r="N211" s="4" t="e">
        <f ca="1"/>
        <v>#VALUE!</v>
      </c>
      <c r="O211" s="4">
        <f ca="1"/>
        <v>0</v>
      </c>
      <c r="P211" s="13">
        <f ca="1"/>
        <v>0</v>
      </c>
    </row>
    <row r="212" spans="12:16">
      <c r="L212" s="5">
        <f t="shared" ca="1" si="20"/>
        <v>0.20550000000000015</v>
      </c>
      <c r="M212">
        <f t="shared" ca="1" si="19"/>
        <v>61650.000000000044</v>
      </c>
      <c r="N212" s="4" t="e">
        <f ca="1"/>
        <v>#VALUE!</v>
      </c>
      <c r="O212" s="4">
        <f ca="1"/>
        <v>0</v>
      </c>
      <c r="P212" s="13">
        <f ca="1"/>
        <v>0</v>
      </c>
    </row>
    <row r="213" spans="12:16">
      <c r="L213" s="5">
        <f t="shared" ca="1" si="20"/>
        <v>0.20650000000000016</v>
      </c>
      <c r="M213">
        <f t="shared" ca="1" si="19"/>
        <v>61950.000000000044</v>
      </c>
      <c r="N213" s="4" t="e">
        <f ca="1"/>
        <v>#VALUE!</v>
      </c>
      <c r="O213" s="4">
        <f ca="1"/>
        <v>0</v>
      </c>
      <c r="P213" s="13">
        <f ca="1"/>
        <v>0</v>
      </c>
    </row>
    <row r="214" spans="12:16">
      <c r="L214" s="5">
        <f t="shared" ca="1" si="20"/>
        <v>0.20750000000000016</v>
      </c>
      <c r="M214">
        <f t="shared" ca="1" si="19"/>
        <v>62250.000000000044</v>
      </c>
      <c r="N214" s="4" t="e">
        <f ca="1"/>
        <v>#VALUE!</v>
      </c>
      <c r="O214" s="4">
        <f ca="1"/>
        <v>0</v>
      </c>
      <c r="P214" s="13">
        <f ca="1"/>
        <v>0</v>
      </c>
    </row>
    <row r="215" spans="12:16">
      <c r="L215" s="5">
        <f t="shared" ca="1" si="20"/>
        <v>0.20850000000000016</v>
      </c>
      <c r="M215">
        <f t="shared" ca="1" si="19"/>
        <v>62550.000000000044</v>
      </c>
      <c r="N215" s="4" t="e">
        <f ca="1"/>
        <v>#VALUE!</v>
      </c>
      <c r="O215" s="4">
        <f ca="1"/>
        <v>0</v>
      </c>
      <c r="P215" s="13">
        <f ca="1"/>
        <v>0</v>
      </c>
    </row>
    <row r="216" spans="12:16">
      <c r="L216" s="5">
        <f t="shared" ca="1" si="20"/>
        <v>0.20950000000000016</v>
      </c>
      <c r="M216">
        <f t="shared" ca="1" si="19"/>
        <v>62850.000000000051</v>
      </c>
      <c r="N216" s="4" t="e">
        <f ca="1"/>
        <v>#VALUE!</v>
      </c>
      <c r="O216" s="4">
        <f ca="1"/>
        <v>0</v>
      </c>
      <c r="P216" s="13">
        <f ca="1"/>
        <v>0</v>
      </c>
    </row>
    <row r="217" spans="12:16">
      <c r="L217" s="5">
        <f t="shared" ca="1" si="20"/>
        <v>0.21050000000000016</v>
      </c>
      <c r="M217">
        <f t="shared" ca="1" si="19"/>
        <v>63150.000000000051</v>
      </c>
      <c r="N217" s="4" t="e">
        <f ca="1"/>
        <v>#VALUE!</v>
      </c>
      <c r="O217" s="4">
        <f ca="1"/>
        <v>0</v>
      </c>
      <c r="P217" s="13">
        <f ca="1"/>
        <v>0</v>
      </c>
    </row>
    <row r="218" spans="12:16">
      <c r="L218" s="5">
        <f t="shared" ca="1" si="20"/>
        <v>0.21150000000000016</v>
      </c>
      <c r="M218">
        <f t="shared" ca="1" si="19"/>
        <v>63450.000000000051</v>
      </c>
      <c r="N218" s="4" t="e">
        <f ca="1"/>
        <v>#VALUE!</v>
      </c>
      <c r="O218" s="4">
        <f ca="1"/>
        <v>0</v>
      </c>
      <c r="P218" s="13">
        <f ca="1"/>
        <v>0</v>
      </c>
    </row>
    <row r="219" spans="12:16">
      <c r="L219" s="5">
        <f t="shared" ca="1" si="20"/>
        <v>0.21250000000000016</v>
      </c>
      <c r="M219">
        <f t="shared" ca="1" si="19"/>
        <v>63750.000000000051</v>
      </c>
      <c r="N219" s="4" t="e">
        <f ca="1"/>
        <v>#VALUE!</v>
      </c>
      <c r="O219" s="4">
        <f ca="1"/>
        <v>0</v>
      </c>
      <c r="P219" s="13">
        <f ca="1"/>
        <v>0</v>
      </c>
    </row>
    <row r="220" spans="12:16">
      <c r="L220" s="5">
        <f t="shared" ca="1" si="20"/>
        <v>0.21350000000000016</v>
      </c>
      <c r="M220">
        <f t="shared" ca="1" si="19"/>
        <v>64050.000000000051</v>
      </c>
      <c r="N220" s="4" t="e">
        <f ca="1"/>
        <v>#VALUE!</v>
      </c>
      <c r="O220" s="4">
        <f ca="1"/>
        <v>0</v>
      </c>
      <c r="P220" s="13">
        <f ca="1"/>
        <v>0</v>
      </c>
    </row>
    <row r="221" spans="12:16">
      <c r="L221" s="5">
        <f t="shared" ca="1" si="20"/>
        <v>0.21450000000000016</v>
      </c>
      <c r="M221">
        <f t="shared" ca="1" si="19"/>
        <v>64350.000000000051</v>
      </c>
      <c r="N221" s="4" t="e">
        <f ca="1"/>
        <v>#VALUE!</v>
      </c>
      <c r="O221" s="4">
        <f ca="1"/>
        <v>0</v>
      </c>
      <c r="P221" s="13">
        <f ca="1"/>
        <v>0</v>
      </c>
    </row>
    <row r="222" spans="12:16">
      <c r="L222" s="5">
        <f t="shared" ca="1" si="20"/>
        <v>0.21550000000000016</v>
      </c>
      <c r="M222">
        <f t="shared" ca="1" si="19"/>
        <v>64650.000000000051</v>
      </c>
      <c r="N222" s="4" t="e">
        <f ca="1"/>
        <v>#VALUE!</v>
      </c>
      <c r="O222" s="4">
        <f ca="1"/>
        <v>0</v>
      </c>
      <c r="P222" s="13">
        <f ca="1"/>
        <v>0</v>
      </c>
    </row>
    <row r="223" spans="12:16">
      <c r="L223" s="5">
        <f t="shared" ca="1" si="20"/>
        <v>0.21650000000000016</v>
      </c>
      <c r="M223">
        <f t="shared" ca="1" si="19"/>
        <v>64950.000000000051</v>
      </c>
      <c r="N223" s="4" t="e">
        <f ca="1"/>
        <v>#VALUE!</v>
      </c>
      <c r="O223" s="4">
        <f ca="1"/>
        <v>0</v>
      </c>
      <c r="P223" s="13">
        <f ca="1"/>
        <v>0</v>
      </c>
    </row>
    <row r="224" spans="12:16">
      <c r="L224" s="5">
        <f t="shared" ca="1" si="20"/>
        <v>0.21750000000000017</v>
      </c>
      <c r="M224">
        <f t="shared" ca="1" si="19"/>
        <v>65250.000000000051</v>
      </c>
      <c r="N224" s="4" t="e">
        <f ca="1"/>
        <v>#VALUE!</v>
      </c>
      <c r="O224" s="4">
        <f ca="1"/>
        <v>0</v>
      </c>
      <c r="P224" s="13">
        <f ca="1"/>
        <v>0</v>
      </c>
    </row>
    <row r="225" spans="12:16">
      <c r="L225" s="5">
        <f t="shared" ca="1" si="20"/>
        <v>0.21850000000000017</v>
      </c>
      <c r="M225">
        <f t="shared" ca="1" si="19"/>
        <v>65550.000000000044</v>
      </c>
      <c r="N225" s="4" t="e">
        <f ca="1"/>
        <v>#VALUE!</v>
      </c>
      <c r="O225" s="4">
        <f ca="1"/>
        <v>0</v>
      </c>
      <c r="P225" s="13">
        <f ca="1"/>
        <v>0</v>
      </c>
    </row>
    <row r="226" spans="12:16">
      <c r="L226" s="5">
        <f t="shared" ca="1" si="20"/>
        <v>0.21950000000000017</v>
      </c>
      <c r="M226">
        <f t="shared" ca="1" si="19"/>
        <v>65850.000000000044</v>
      </c>
      <c r="N226" s="4" t="e">
        <f ca="1"/>
        <v>#VALUE!</v>
      </c>
      <c r="O226" s="4">
        <f ca="1"/>
        <v>0</v>
      </c>
      <c r="P226" s="13">
        <f ca="1"/>
        <v>0</v>
      </c>
    </row>
    <row r="227" spans="12:16">
      <c r="L227" s="5">
        <f t="shared" ca="1" si="20"/>
        <v>0.22050000000000017</v>
      </c>
      <c r="M227">
        <f t="shared" ca="1" si="19"/>
        <v>66150.000000000044</v>
      </c>
      <c r="N227" s="4" t="e">
        <f ca="1"/>
        <v>#VALUE!</v>
      </c>
      <c r="O227" s="4">
        <f ca="1"/>
        <v>0</v>
      </c>
      <c r="P227" s="13">
        <f ca="1"/>
        <v>0</v>
      </c>
    </row>
    <row r="228" spans="12:16">
      <c r="L228" s="5">
        <f t="shared" ca="1" si="20"/>
        <v>0.22150000000000017</v>
      </c>
      <c r="M228">
        <f t="shared" ca="1" si="19"/>
        <v>66450.000000000044</v>
      </c>
      <c r="N228" s="4" t="e">
        <f ca="1"/>
        <v>#VALUE!</v>
      </c>
      <c r="O228" s="4">
        <f ca="1"/>
        <v>0</v>
      </c>
      <c r="P228" s="13">
        <f ca="1"/>
        <v>0</v>
      </c>
    </row>
    <row r="229" spans="12:16">
      <c r="L229" s="5">
        <f t="shared" ca="1" si="20"/>
        <v>0.22250000000000017</v>
      </c>
      <c r="M229">
        <f t="shared" ca="1" si="19"/>
        <v>66750.000000000058</v>
      </c>
      <c r="N229" s="4" t="e">
        <f ca="1"/>
        <v>#VALUE!</v>
      </c>
      <c r="O229" s="4">
        <f ca="1"/>
        <v>0</v>
      </c>
      <c r="P229" s="13">
        <f ca="1"/>
        <v>0</v>
      </c>
    </row>
    <row r="230" spans="12:16">
      <c r="L230" s="5">
        <f t="shared" ca="1" si="20"/>
        <v>0.22350000000000017</v>
      </c>
      <c r="M230">
        <f t="shared" ca="1" si="19"/>
        <v>67050.000000000058</v>
      </c>
      <c r="N230" s="4" t="e">
        <f ca="1"/>
        <v>#VALUE!</v>
      </c>
      <c r="O230" s="4">
        <f ca="1"/>
        <v>0</v>
      </c>
      <c r="P230" s="13">
        <f ca="1"/>
        <v>0</v>
      </c>
    </row>
    <row r="231" spans="12:16">
      <c r="L231" s="5">
        <f t="shared" ca="1" si="20"/>
        <v>0.22450000000000017</v>
      </c>
      <c r="M231">
        <f t="shared" ca="1" si="19"/>
        <v>67350.000000000058</v>
      </c>
      <c r="N231" s="4" t="e">
        <f ca="1"/>
        <v>#VALUE!</v>
      </c>
      <c r="O231" s="4">
        <f ca="1"/>
        <v>0</v>
      </c>
      <c r="P231" s="13">
        <f ca="1"/>
        <v>0</v>
      </c>
    </row>
    <row r="232" spans="12:16">
      <c r="L232" s="5">
        <f t="shared" ca="1" si="20"/>
        <v>0.22550000000000017</v>
      </c>
      <c r="M232">
        <f t="shared" ca="1" si="19"/>
        <v>67650.000000000058</v>
      </c>
      <c r="N232" s="4" t="e">
        <f ca="1"/>
        <v>#VALUE!</v>
      </c>
      <c r="O232" s="4">
        <f ca="1"/>
        <v>0</v>
      </c>
      <c r="P232" s="13">
        <f ca="1"/>
        <v>0</v>
      </c>
    </row>
    <row r="233" spans="12:16">
      <c r="L233" s="5">
        <f t="shared" ca="1" si="20"/>
        <v>0.22650000000000017</v>
      </c>
      <c r="M233">
        <f t="shared" ca="1" si="19"/>
        <v>67950.000000000058</v>
      </c>
      <c r="N233" s="4" t="e">
        <f ca="1"/>
        <v>#VALUE!</v>
      </c>
      <c r="O233" s="4">
        <f ca="1"/>
        <v>0</v>
      </c>
      <c r="P233" s="13">
        <f ca="1"/>
        <v>0</v>
      </c>
    </row>
    <row r="234" spans="12:16">
      <c r="L234" s="5">
        <f t="shared" ca="1" si="20"/>
        <v>0.22750000000000017</v>
      </c>
      <c r="M234">
        <f t="shared" ca="1" si="19"/>
        <v>68250.000000000058</v>
      </c>
      <c r="N234" s="4" t="e">
        <f ca="1"/>
        <v>#VALUE!</v>
      </c>
      <c r="O234" s="4">
        <f ca="1"/>
        <v>0</v>
      </c>
      <c r="P234" s="13">
        <f ca="1"/>
        <v>0</v>
      </c>
    </row>
    <row r="235" spans="12:16">
      <c r="L235" s="5">
        <f t="shared" ca="1" si="20"/>
        <v>0.22850000000000018</v>
      </c>
      <c r="M235">
        <f t="shared" ca="1" si="19"/>
        <v>68550.000000000058</v>
      </c>
      <c r="N235" s="4" t="e">
        <f ca="1"/>
        <v>#VALUE!</v>
      </c>
      <c r="O235" s="4">
        <f ca="1"/>
        <v>0</v>
      </c>
      <c r="P235" s="13">
        <f ca="1"/>
        <v>0</v>
      </c>
    </row>
    <row r="236" spans="12:16">
      <c r="L236" s="5">
        <f t="shared" ca="1" si="20"/>
        <v>0.22950000000000018</v>
      </c>
      <c r="M236">
        <f t="shared" ca="1" si="19"/>
        <v>68850.000000000058</v>
      </c>
      <c r="N236" s="4" t="e">
        <f ca="1"/>
        <v>#VALUE!</v>
      </c>
      <c r="O236" s="4">
        <f ca="1"/>
        <v>0</v>
      </c>
      <c r="P236" s="13">
        <f ca="1"/>
        <v>0</v>
      </c>
    </row>
    <row r="237" spans="12:16">
      <c r="L237" s="5">
        <f t="shared" ca="1" si="20"/>
        <v>0.23050000000000018</v>
      </c>
      <c r="M237">
        <f t="shared" ca="1" si="19"/>
        <v>69150.000000000058</v>
      </c>
      <c r="N237" s="4" t="e">
        <f ca="1"/>
        <v>#VALUE!</v>
      </c>
      <c r="O237" s="4">
        <f ca="1"/>
        <v>0</v>
      </c>
      <c r="P237" s="13">
        <f ca="1"/>
        <v>0</v>
      </c>
    </row>
    <row r="238" spans="12:16">
      <c r="L238" s="5">
        <f t="shared" ca="1" si="20"/>
        <v>0.23150000000000018</v>
      </c>
      <c r="M238">
        <f t="shared" ca="1" si="19"/>
        <v>69450.000000000058</v>
      </c>
      <c r="N238" s="4" t="e">
        <f ca="1"/>
        <v>#VALUE!</v>
      </c>
      <c r="O238" s="4">
        <f ca="1"/>
        <v>0</v>
      </c>
      <c r="P238" s="13">
        <f ca="1"/>
        <v>0</v>
      </c>
    </row>
    <row r="239" spans="12:16">
      <c r="L239" s="5">
        <f t="shared" ca="1" si="20"/>
        <v>0.23250000000000018</v>
      </c>
      <c r="M239">
        <f t="shared" ca="1" si="19"/>
        <v>69750.000000000058</v>
      </c>
      <c r="N239" s="4" t="e">
        <f ca="1"/>
        <v>#VALUE!</v>
      </c>
      <c r="O239" s="4">
        <f ca="1"/>
        <v>0</v>
      </c>
      <c r="P239" s="13">
        <f ca="1"/>
        <v>0</v>
      </c>
    </row>
    <row r="240" spans="12:16">
      <c r="L240" s="5">
        <f t="shared" ca="1" si="20"/>
        <v>0.23350000000000018</v>
      </c>
      <c r="M240">
        <f t="shared" ca="1" si="19"/>
        <v>70050.000000000058</v>
      </c>
      <c r="N240" s="4" t="e">
        <f ca="1"/>
        <v>#VALUE!</v>
      </c>
      <c r="O240" s="4">
        <f ca="1"/>
        <v>0</v>
      </c>
      <c r="P240" s="13">
        <f ca="1"/>
        <v>0</v>
      </c>
    </row>
    <row r="241" spans="12:16">
      <c r="L241" s="5">
        <f t="shared" ca="1" si="20"/>
        <v>0.23450000000000018</v>
      </c>
      <c r="M241">
        <f t="shared" ca="1" si="19"/>
        <v>70350.000000000058</v>
      </c>
      <c r="N241" s="4" t="e">
        <f ca="1"/>
        <v>#VALUE!</v>
      </c>
      <c r="O241" s="4">
        <f ca="1"/>
        <v>0</v>
      </c>
      <c r="P241" s="13">
        <f ca="1"/>
        <v>0</v>
      </c>
    </row>
    <row r="242" spans="12:16">
      <c r="L242" s="5">
        <f t="shared" ca="1" si="20"/>
        <v>0.23550000000000018</v>
      </c>
      <c r="M242">
        <f t="shared" ca="1" si="19"/>
        <v>70650.000000000058</v>
      </c>
      <c r="N242" s="4" t="e">
        <f ca="1"/>
        <v>#VALUE!</v>
      </c>
      <c r="O242" s="4">
        <f ca="1"/>
        <v>0</v>
      </c>
      <c r="P242" s="13">
        <f ca="1"/>
        <v>0</v>
      </c>
    </row>
    <row r="243" spans="12:16">
      <c r="L243" s="5">
        <f t="shared" ca="1" si="20"/>
        <v>0.23650000000000018</v>
      </c>
      <c r="M243">
        <f t="shared" ca="1" si="19"/>
        <v>70950.000000000058</v>
      </c>
      <c r="N243" s="4" t="e">
        <f ca="1"/>
        <v>#VALUE!</v>
      </c>
      <c r="O243" s="4">
        <f ca="1"/>
        <v>0</v>
      </c>
      <c r="P243" s="13">
        <f ca="1"/>
        <v>0</v>
      </c>
    </row>
    <row r="244" spans="12:16">
      <c r="L244" s="5">
        <f t="shared" ca="1" si="20"/>
        <v>0.23750000000000018</v>
      </c>
      <c r="M244">
        <f t="shared" ca="1" si="19"/>
        <v>71250.000000000058</v>
      </c>
      <c r="N244" s="4" t="e">
        <f ca="1"/>
        <v>#VALUE!</v>
      </c>
      <c r="O244" s="4">
        <f ca="1"/>
        <v>0</v>
      </c>
      <c r="P244" s="13">
        <f ca="1"/>
        <v>0</v>
      </c>
    </row>
    <row r="245" spans="12:16">
      <c r="L245" s="5">
        <f t="shared" ca="1" si="20"/>
        <v>0.23850000000000018</v>
      </c>
      <c r="M245">
        <f t="shared" ca="1" si="19"/>
        <v>71550.000000000058</v>
      </c>
      <c r="N245" s="4" t="e">
        <f ca="1"/>
        <v>#VALUE!</v>
      </c>
      <c r="O245" s="4">
        <f ca="1"/>
        <v>0</v>
      </c>
      <c r="P245" s="13">
        <f ca="1"/>
        <v>0</v>
      </c>
    </row>
    <row r="246" spans="12:16">
      <c r="L246" s="5">
        <f t="shared" ca="1" si="20"/>
        <v>0.23950000000000018</v>
      </c>
      <c r="M246">
        <f t="shared" ca="1" si="19"/>
        <v>71850.000000000058</v>
      </c>
      <c r="N246" s="4" t="e">
        <f ca="1"/>
        <v>#VALUE!</v>
      </c>
      <c r="O246" s="4">
        <f ca="1"/>
        <v>0</v>
      </c>
      <c r="P246" s="13">
        <f ca="1"/>
        <v>0</v>
      </c>
    </row>
    <row r="247" spans="12:16">
      <c r="L247" s="5">
        <f t="shared" ca="1" si="20"/>
        <v>0.24050000000000019</v>
      </c>
      <c r="M247">
        <f t="shared" ca="1" si="19"/>
        <v>72150.000000000058</v>
      </c>
      <c r="N247" s="4" t="e">
        <f ca="1"/>
        <v>#VALUE!</v>
      </c>
      <c r="O247" s="4">
        <f ca="1"/>
        <v>0</v>
      </c>
      <c r="P247" s="13">
        <f ca="1"/>
        <v>0</v>
      </c>
    </row>
    <row r="248" spans="12:16">
      <c r="L248" s="5">
        <f t="shared" ca="1" si="20"/>
        <v>0.24150000000000019</v>
      </c>
      <c r="M248">
        <f t="shared" ca="1" si="19"/>
        <v>72450.000000000058</v>
      </c>
      <c r="N248" s="4" t="e">
        <f ca="1"/>
        <v>#VALUE!</v>
      </c>
      <c r="O248" s="4">
        <f ca="1"/>
        <v>0</v>
      </c>
      <c r="P248" s="13">
        <f ca="1"/>
        <v>0</v>
      </c>
    </row>
    <row r="249" spans="12:16">
      <c r="L249" s="5">
        <f t="shared" ca="1" si="20"/>
        <v>0.24250000000000019</v>
      </c>
      <c r="M249">
        <f t="shared" ca="1" si="19"/>
        <v>72750.000000000058</v>
      </c>
      <c r="N249" s="4" t="e">
        <f ca="1"/>
        <v>#VALUE!</v>
      </c>
      <c r="O249" s="4">
        <f ca="1"/>
        <v>0</v>
      </c>
      <c r="P249" s="13">
        <f ca="1"/>
        <v>0</v>
      </c>
    </row>
    <row r="250" spans="12:16">
      <c r="L250" s="5">
        <f t="shared" ca="1" si="20"/>
        <v>0.24350000000000019</v>
      </c>
      <c r="M250">
        <f t="shared" ca="1" si="19"/>
        <v>73050.000000000058</v>
      </c>
      <c r="N250" s="4" t="e">
        <f ca="1"/>
        <v>#VALUE!</v>
      </c>
      <c r="O250" s="4">
        <f ca="1"/>
        <v>0</v>
      </c>
      <c r="P250" s="13">
        <f ca="1"/>
        <v>0</v>
      </c>
    </row>
    <row r="251" spans="12:16">
      <c r="L251" s="5">
        <f t="shared" ca="1" si="20"/>
        <v>0.24450000000000019</v>
      </c>
      <c r="M251">
        <f t="shared" ca="1" si="19"/>
        <v>73350.000000000058</v>
      </c>
      <c r="N251" s="4" t="e">
        <f ca="1"/>
        <v>#VALUE!</v>
      </c>
      <c r="O251" s="4">
        <f ca="1"/>
        <v>0</v>
      </c>
      <c r="P251" s="13">
        <f ca="1"/>
        <v>0</v>
      </c>
    </row>
    <row r="252" spans="12:16">
      <c r="L252" s="5">
        <f t="shared" ca="1" si="20"/>
        <v>0.24550000000000019</v>
      </c>
      <c r="M252">
        <f t="shared" ca="1" si="19"/>
        <v>73650.000000000058</v>
      </c>
      <c r="N252" s="4" t="e">
        <f ca="1"/>
        <v>#VALUE!</v>
      </c>
      <c r="O252" s="4">
        <f ca="1"/>
        <v>0</v>
      </c>
      <c r="P252" s="13">
        <f ca="1"/>
        <v>0</v>
      </c>
    </row>
    <row r="253" spans="12:16">
      <c r="L253" s="5">
        <f t="shared" ca="1" si="20"/>
        <v>0.24650000000000019</v>
      </c>
      <c r="M253">
        <f t="shared" ca="1" si="19"/>
        <v>73950.000000000058</v>
      </c>
      <c r="N253" s="4" t="e">
        <f ca="1"/>
        <v>#VALUE!</v>
      </c>
      <c r="O253" s="4">
        <f ca="1"/>
        <v>0</v>
      </c>
      <c r="P253" s="13">
        <f ca="1"/>
        <v>0</v>
      </c>
    </row>
    <row r="254" spans="12:16">
      <c r="L254" s="5">
        <f t="shared" ca="1" si="20"/>
        <v>0.24750000000000019</v>
      </c>
      <c r="M254">
        <f t="shared" ca="1" si="19"/>
        <v>74250.000000000058</v>
      </c>
      <c r="N254" s="4" t="e">
        <f ca="1"/>
        <v>#VALUE!</v>
      </c>
      <c r="O254" s="4">
        <f ca="1"/>
        <v>0</v>
      </c>
      <c r="P254" s="13">
        <f ca="1"/>
        <v>0</v>
      </c>
    </row>
    <row r="255" spans="12:16">
      <c r="L255" s="5">
        <f t="shared" ca="1" si="20"/>
        <v>0.24850000000000019</v>
      </c>
      <c r="M255">
        <f t="shared" ca="1" si="19"/>
        <v>74550.000000000058</v>
      </c>
      <c r="N255" s="4" t="e">
        <f ca="1"/>
        <v>#VALUE!</v>
      </c>
      <c r="O255" s="4">
        <f ca="1"/>
        <v>0</v>
      </c>
      <c r="P255" s="13">
        <f ca="1"/>
        <v>0</v>
      </c>
    </row>
    <row r="256" spans="12:16">
      <c r="L256" s="5">
        <f t="shared" ca="1" si="20"/>
        <v>0.24950000000000019</v>
      </c>
      <c r="M256">
        <f t="shared" ca="1" si="19"/>
        <v>74850.000000000058</v>
      </c>
      <c r="N256" s="4" t="e">
        <f ca="1"/>
        <v>#VALUE!</v>
      </c>
      <c r="O256" s="4">
        <f ca="1"/>
        <v>0</v>
      </c>
      <c r="P256" s="13">
        <f ca="1"/>
        <v>0</v>
      </c>
    </row>
    <row r="257" spans="12:16">
      <c r="L257" s="5">
        <f t="shared" ca="1" si="20"/>
        <v>0.25050000000000017</v>
      </c>
      <c r="M257">
        <f t="shared" ca="1" si="19"/>
        <v>75150.000000000044</v>
      </c>
      <c r="N257" s="4" t="e">
        <f ca="1"/>
        <v>#VALUE!</v>
      </c>
      <c r="O257" s="4">
        <f ca="1"/>
        <v>0</v>
      </c>
      <c r="P257" s="13">
        <f ca="1"/>
        <v>0</v>
      </c>
    </row>
    <row r="258" spans="12:16">
      <c r="L258" s="5">
        <f t="shared" ca="1" si="20"/>
        <v>0.25150000000000017</v>
      </c>
      <c r="M258">
        <f t="shared" ca="1" si="19"/>
        <v>75450.000000000044</v>
      </c>
      <c r="N258" s="4" t="e">
        <f ca="1"/>
        <v>#VALUE!</v>
      </c>
      <c r="O258" s="4">
        <f ca="1"/>
        <v>0</v>
      </c>
      <c r="P258" s="13">
        <f ca="1"/>
        <v>0</v>
      </c>
    </row>
    <row r="259" spans="12:16">
      <c r="L259" s="5">
        <f t="shared" ca="1" si="20"/>
        <v>0.25250000000000017</v>
      </c>
      <c r="M259">
        <f t="shared" ca="1" si="19"/>
        <v>75750.000000000044</v>
      </c>
      <c r="N259" s="4" t="e">
        <f ca="1"/>
        <v>#VALUE!</v>
      </c>
      <c r="O259" s="4">
        <f ca="1"/>
        <v>0</v>
      </c>
      <c r="P259" s="13">
        <f ca="1"/>
        <v>0</v>
      </c>
    </row>
    <row r="260" spans="12:16">
      <c r="L260" s="5">
        <f t="shared" ca="1" si="20"/>
        <v>0.25350000000000017</v>
      </c>
      <c r="M260">
        <f t="shared" ca="1" si="19"/>
        <v>76050.000000000044</v>
      </c>
      <c r="N260" s="4" t="e">
        <f ca="1"/>
        <v>#VALUE!</v>
      </c>
      <c r="O260" s="4">
        <f ca="1"/>
        <v>0</v>
      </c>
      <c r="P260" s="13">
        <f ca="1"/>
        <v>0</v>
      </c>
    </row>
    <row r="261" spans="12:16">
      <c r="L261" s="5">
        <f t="shared" ca="1" si="20"/>
        <v>0.25450000000000017</v>
      </c>
      <c r="M261">
        <f t="shared" ca="1" si="19"/>
        <v>76350.000000000058</v>
      </c>
      <c r="N261" s="4" t="e">
        <f ca="1"/>
        <v>#VALUE!</v>
      </c>
      <c r="O261" s="4">
        <f ca="1"/>
        <v>0</v>
      </c>
      <c r="P261" s="13">
        <f ca="1"/>
        <v>0</v>
      </c>
    </row>
    <row r="262" spans="12:16">
      <c r="L262" s="5">
        <f t="shared" ca="1" si="20"/>
        <v>0.25550000000000017</v>
      </c>
      <c r="M262">
        <f t="shared" ref="M262:M325" ca="1" si="21">L262*$K$10</f>
        <v>76650.000000000058</v>
      </c>
      <c r="N262" s="4" t="e">
        <f ca="1"/>
        <v>#VALUE!</v>
      </c>
      <c r="O262" s="4">
        <f ca="1"/>
        <v>0</v>
      </c>
      <c r="P262" s="13">
        <f ca="1"/>
        <v>0</v>
      </c>
    </row>
    <row r="263" spans="12:16">
      <c r="L263" s="5">
        <f t="shared" ca="1" si="20"/>
        <v>0.25650000000000017</v>
      </c>
      <c r="M263">
        <f t="shared" ca="1" si="21"/>
        <v>76950.000000000058</v>
      </c>
      <c r="N263" s="4" t="e">
        <f ca="1"/>
        <v>#VALUE!</v>
      </c>
      <c r="O263" s="4">
        <f ca="1"/>
        <v>0</v>
      </c>
      <c r="P263" s="13">
        <f ca="1"/>
        <v>0</v>
      </c>
    </row>
    <row r="264" spans="12:16">
      <c r="L264" s="5">
        <f t="shared" ref="L264:L327" ca="1" si="22">L263+1/$K$7</f>
        <v>0.25750000000000017</v>
      </c>
      <c r="M264">
        <f t="shared" ca="1" si="21"/>
        <v>77250.000000000058</v>
      </c>
      <c r="N264" s="4" t="e">
        <f ca="1"/>
        <v>#VALUE!</v>
      </c>
      <c r="O264" s="4">
        <f ca="1"/>
        <v>0</v>
      </c>
      <c r="P264" s="13">
        <f ca="1"/>
        <v>0</v>
      </c>
    </row>
    <row r="265" spans="12:16">
      <c r="L265" s="5">
        <f t="shared" ca="1" si="22"/>
        <v>0.25850000000000017</v>
      </c>
      <c r="M265">
        <f t="shared" ca="1" si="21"/>
        <v>77550.000000000058</v>
      </c>
      <c r="N265" s="4" t="e">
        <f ca="1"/>
        <v>#VALUE!</v>
      </c>
      <c r="O265" s="4">
        <f ca="1"/>
        <v>0</v>
      </c>
      <c r="P265" s="13">
        <f ca="1"/>
        <v>0</v>
      </c>
    </row>
    <row r="266" spans="12:16">
      <c r="L266" s="5">
        <f t="shared" ca="1" si="22"/>
        <v>0.25950000000000017</v>
      </c>
      <c r="M266">
        <f t="shared" ca="1" si="21"/>
        <v>77850.000000000058</v>
      </c>
      <c r="N266" s="4" t="e">
        <f ca="1"/>
        <v>#VALUE!</v>
      </c>
      <c r="O266" s="4">
        <f ca="1"/>
        <v>0</v>
      </c>
      <c r="P266" s="13">
        <f ca="1"/>
        <v>0</v>
      </c>
    </row>
    <row r="267" spans="12:16">
      <c r="L267" s="5">
        <f t="shared" ca="1" si="22"/>
        <v>0.26050000000000018</v>
      </c>
      <c r="M267">
        <f t="shared" ca="1" si="21"/>
        <v>78150.000000000058</v>
      </c>
      <c r="N267" s="4" t="e">
        <f ca="1"/>
        <v>#VALUE!</v>
      </c>
      <c r="O267" s="4">
        <f ca="1"/>
        <v>0</v>
      </c>
      <c r="P267" s="13">
        <f ca="1"/>
        <v>0</v>
      </c>
    </row>
    <row r="268" spans="12:16">
      <c r="L268" s="5">
        <f t="shared" ca="1" si="22"/>
        <v>0.26150000000000018</v>
      </c>
      <c r="M268">
        <f t="shared" ca="1" si="21"/>
        <v>78450.000000000058</v>
      </c>
      <c r="N268" s="4" t="e">
        <f ca="1"/>
        <v>#VALUE!</v>
      </c>
      <c r="O268" s="4">
        <f ca="1"/>
        <v>0</v>
      </c>
      <c r="P268" s="13">
        <f ca="1"/>
        <v>0</v>
      </c>
    </row>
    <row r="269" spans="12:16">
      <c r="L269" s="5">
        <f t="shared" ca="1" si="22"/>
        <v>0.26250000000000018</v>
      </c>
      <c r="M269">
        <f t="shared" ca="1" si="21"/>
        <v>78750.000000000058</v>
      </c>
      <c r="N269" s="4" t="e">
        <f ca="1"/>
        <v>#VALUE!</v>
      </c>
      <c r="O269" s="4">
        <f ca="1"/>
        <v>0</v>
      </c>
      <c r="P269" s="13">
        <f ca="1"/>
        <v>0</v>
      </c>
    </row>
    <row r="270" spans="12:16">
      <c r="L270" s="5">
        <f t="shared" ca="1" si="22"/>
        <v>0.26350000000000018</v>
      </c>
      <c r="M270">
        <f t="shared" ca="1" si="21"/>
        <v>79050.000000000058</v>
      </c>
      <c r="N270" s="4" t="e">
        <f ca="1"/>
        <v>#VALUE!</v>
      </c>
      <c r="O270" s="4">
        <f ca="1"/>
        <v>0</v>
      </c>
      <c r="P270" s="13">
        <f ca="1"/>
        <v>0</v>
      </c>
    </row>
    <row r="271" spans="12:16">
      <c r="L271" s="5">
        <f t="shared" ca="1" si="22"/>
        <v>0.26450000000000018</v>
      </c>
      <c r="M271">
        <f t="shared" ca="1" si="21"/>
        <v>79350.000000000058</v>
      </c>
      <c r="N271" s="4" t="e">
        <f ca="1"/>
        <v>#VALUE!</v>
      </c>
      <c r="O271" s="4">
        <f ca="1"/>
        <v>0</v>
      </c>
      <c r="P271" s="13">
        <f ca="1"/>
        <v>0</v>
      </c>
    </row>
    <row r="272" spans="12:16">
      <c r="L272" s="5">
        <f t="shared" ca="1" si="22"/>
        <v>0.26550000000000018</v>
      </c>
      <c r="M272">
        <f t="shared" ca="1" si="21"/>
        <v>79650.000000000058</v>
      </c>
      <c r="N272" s="4" t="e">
        <f ca="1"/>
        <v>#VALUE!</v>
      </c>
      <c r="O272" s="4">
        <f ca="1"/>
        <v>0</v>
      </c>
      <c r="P272" s="13">
        <f ca="1"/>
        <v>0</v>
      </c>
    </row>
    <row r="273" spans="12:16">
      <c r="L273" s="5">
        <f t="shared" ca="1" si="22"/>
        <v>0.26650000000000018</v>
      </c>
      <c r="M273">
        <f t="shared" ca="1" si="21"/>
        <v>79950.000000000058</v>
      </c>
      <c r="N273" s="4" t="e">
        <f ca="1"/>
        <v>#VALUE!</v>
      </c>
      <c r="O273" s="4">
        <f ca="1"/>
        <v>0</v>
      </c>
      <c r="P273" s="13">
        <f ca="1"/>
        <v>0</v>
      </c>
    </row>
    <row r="274" spans="12:16">
      <c r="L274" s="5">
        <f t="shared" ca="1" si="22"/>
        <v>0.26750000000000018</v>
      </c>
      <c r="M274">
        <f t="shared" ca="1" si="21"/>
        <v>80250.000000000058</v>
      </c>
      <c r="N274" s="4" t="e">
        <f ca="1"/>
        <v>#VALUE!</v>
      </c>
      <c r="O274" s="4">
        <f ca="1"/>
        <v>0</v>
      </c>
      <c r="P274" s="13">
        <f ca="1"/>
        <v>0</v>
      </c>
    </row>
    <row r="275" spans="12:16">
      <c r="L275" s="5">
        <f t="shared" ca="1" si="22"/>
        <v>0.26850000000000018</v>
      </c>
      <c r="M275">
        <f t="shared" ca="1" si="21"/>
        <v>80550.000000000058</v>
      </c>
      <c r="N275" s="4" t="e">
        <f ca="1"/>
        <v>#VALUE!</v>
      </c>
      <c r="O275" s="4">
        <f ca="1"/>
        <v>0</v>
      </c>
      <c r="P275" s="13">
        <f ca="1"/>
        <v>0</v>
      </c>
    </row>
    <row r="276" spans="12:16">
      <c r="L276" s="5">
        <f t="shared" ca="1" si="22"/>
        <v>0.26950000000000018</v>
      </c>
      <c r="M276">
        <f t="shared" ca="1" si="21"/>
        <v>80850.000000000058</v>
      </c>
      <c r="N276" s="4" t="e">
        <f ca="1"/>
        <v>#VALUE!</v>
      </c>
      <c r="O276" s="4">
        <f ca="1"/>
        <v>0</v>
      </c>
      <c r="P276" s="13">
        <f ca="1"/>
        <v>0</v>
      </c>
    </row>
    <row r="277" spans="12:16">
      <c r="L277" s="5">
        <f t="shared" ca="1" si="22"/>
        <v>0.27050000000000018</v>
      </c>
      <c r="M277">
        <f t="shared" ca="1" si="21"/>
        <v>81150.000000000058</v>
      </c>
      <c r="N277" s="4" t="e">
        <f ca="1"/>
        <v>#VALUE!</v>
      </c>
      <c r="O277" s="4">
        <f ca="1"/>
        <v>0</v>
      </c>
      <c r="P277" s="13">
        <f ca="1"/>
        <v>0</v>
      </c>
    </row>
    <row r="278" spans="12:16">
      <c r="L278" s="5">
        <f t="shared" ca="1" si="22"/>
        <v>0.27150000000000019</v>
      </c>
      <c r="M278">
        <f t="shared" ca="1" si="21"/>
        <v>81450.000000000058</v>
      </c>
      <c r="N278" s="4" t="e">
        <f ca="1"/>
        <v>#VALUE!</v>
      </c>
      <c r="O278" s="4">
        <f ca="1"/>
        <v>0</v>
      </c>
      <c r="P278" s="13">
        <f ca="1"/>
        <v>0</v>
      </c>
    </row>
    <row r="279" spans="12:16">
      <c r="L279" s="5">
        <f t="shared" ca="1" si="22"/>
        <v>0.27250000000000019</v>
      </c>
      <c r="M279">
        <f t="shared" ca="1" si="21"/>
        <v>81750.000000000058</v>
      </c>
      <c r="N279" s="4" t="e">
        <f ca="1"/>
        <v>#VALUE!</v>
      </c>
      <c r="O279" s="4">
        <f ca="1"/>
        <v>0</v>
      </c>
      <c r="P279" s="13">
        <f ca="1"/>
        <v>0</v>
      </c>
    </row>
    <row r="280" spans="12:16">
      <c r="L280" s="5">
        <f t="shared" ca="1" si="22"/>
        <v>0.27350000000000019</v>
      </c>
      <c r="M280">
        <f t="shared" ca="1" si="21"/>
        <v>82050.000000000058</v>
      </c>
      <c r="N280" s="4" t="e">
        <f ca="1"/>
        <v>#VALUE!</v>
      </c>
      <c r="O280" s="4">
        <f ca="1"/>
        <v>0</v>
      </c>
      <c r="P280" s="13">
        <f ca="1"/>
        <v>0</v>
      </c>
    </row>
    <row r="281" spans="12:16">
      <c r="L281" s="5">
        <f t="shared" ca="1" si="22"/>
        <v>0.27450000000000019</v>
      </c>
      <c r="M281">
        <f t="shared" ca="1" si="21"/>
        <v>82350.000000000058</v>
      </c>
      <c r="N281" s="4" t="e">
        <f ca="1"/>
        <v>#VALUE!</v>
      </c>
      <c r="O281" s="4">
        <f ca="1"/>
        <v>0</v>
      </c>
      <c r="P281" s="13">
        <f ca="1"/>
        <v>0</v>
      </c>
    </row>
    <row r="282" spans="12:16">
      <c r="L282" s="5">
        <f t="shared" ca="1" si="22"/>
        <v>0.27550000000000019</v>
      </c>
      <c r="M282">
        <f t="shared" ca="1" si="21"/>
        <v>82650.000000000058</v>
      </c>
      <c r="N282" s="4" t="e">
        <f ca="1"/>
        <v>#VALUE!</v>
      </c>
      <c r="O282" s="4">
        <f ca="1"/>
        <v>0</v>
      </c>
      <c r="P282" s="13">
        <f ca="1"/>
        <v>0</v>
      </c>
    </row>
    <row r="283" spans="12:16">
      <c r="L283" s="5">
        <f t="shared" ca="1" si="22"/>
        <v>0.27650000000000019</v>
      </c>
      <c r="M283">
        <f t="shared" ca="1" si="21"/>
        <v>82950.000000000058</v>
      </c>
      <c r="N283" s="4" t="e">
        <f ca="1"/>
        <v>#VALUE!</v>
      </c>
      <c r="O283" s="4">
        <f ca="1"/>
        <v>0</v>
      </c>
      <c r="P283" s="13">
        <f ca="1"/>
        <v>0</v>
      </c>
    </row>
    <row r="284" spans="12:16">
      <c r="L284" s="5">
        <f t="shared" ca="1" si="22"/>
        <v>0.27750000000000019</v>
      </c>
      <c r="M284">
        <f t="shared" ca="1" si="21"/>
        <v>83250.000000000058</v>
      </c>
      <c r="N284" s="4" t="e">
        <f ca="1"/>
        <v>#VALUE!</v>
      </c>
      <c r="O284" s="4">
        <f ca="1"/>
        <v>0</v>
      </c>
      <c r="P284" s="13">
        <f ca="1"/>
        <v>0</v>
      </c>
    </row>
    <row r="285" spans="12:16">
      <c r="L285" s="5">
        <f t="shared" ca="1" si="22"/>
        <v>0.27850000000000019</v>
      </c>
      <c r="M285">
        <f t="shared" ca="1" si="21"/>
        <v>83550.000000000058</v>
      </c>
      <c r="N285" s="4" t="e">
        <f ca="1"/>
        <v>#VALUE!</v>
      </c>
      <c r="O285" s="4">
        <f ca="1"/>
        <v>0</v>
      </c>
      <c r="P285" s="13">
        <f ca="1"/>
        <v>0</v>
      </c>
    </row>
    <row r="286" spans="12:16">
      <c r="L286" s="5">
        <f t="shared" ca="1" si="22"/>
        <v>0.27950000000000019</v>
      </c>
      <c r="M286">
        <f t="shared" ca="1" si="21"/>
        <v>83850.000000000058</v>
      </c>
      <c r="N286" s="4" t="e">
        <f ca="1"/>
        <v>#VALUE!</v>
      </c>
      <c r="O286" s="4">
        <f ca="1"/>
        <v>0</v>
      </c>
      <c r="P286" s="13">
        <f ca="1"/>
        <v>0</v>
      </c>
    </row>
    <row r="287" spans="12:16">
      <c r="L287" s="5">
        <f t="shared" ca="1" si="22"/>
        <v>0.28050000000000019</v>
      </c>
      <c r="M287">
        <f t="shared" ca="1" si="21"/>
        <v>84150.000000000058</v>
      </c>
      <c r="N287" s="4" t="e">
        <f ca="1"/>
        <v>#VALUE!</v>
      </c>
      <c r="O287" s="4">
        <f ca="1"/>
        <v>0</v>
      </c>
      <c r="P287" s="13">
        <f ca="1"/>
        <v>0</v>
      </c>
    </row>
    <row r="288" spans="12:16">
      <c r="L288" s="5">
        <f t="shared" ca="1" si="22"/>
        <v>0.28150000000000019</v>
      </c>
      <c r="M288">
        <f t="shared" ca="1" si="21"/>
        <v>84450.000000000058</v>
      </c>
      <c r="N288" s="4" t="e">
        <f ca="1"/>
        <v>#VALUE!</v>
      </c>
      <c r="O288" s="4">
        <f ca="1"/>
        <v>0</v>
      </c>
      <c r="P288" s="13">
        <f ca="1"/>
        <v>0</v>
      </c>
    </row>
    <row r="289" spans="12:16">
      <c r="L289" s="5">
        <f t="shared" ca="1" si="22"/>
        <v>0.2825000000000002</v>
      </c>
      <c r="M289">
        <f t="shared" ca="1" si="21"/>
        <v>84750.000000000058</v>
      </c>
      <c r="N289" s="4" t="e">
        <f ca="1"/>
        <v>#VALUE!</v>
      </c>
      <c r="O289" s="4">
        <f ca="1"/>
        <v>0</v>
      </c>
      <c r="P289" s="13">
        <f ca="1"/>
        <v>0</v>
      </c>
    </row>
    <row r="290" spans="12:16">
      <c r="L290" s="5">
        <f t="shared" ca="1" si="22"/>
        <v>0.2835000000000002</v>
      </c>
      <c r="M290">
        <f t="shared" ca="1" si="21"/>
        <v>85050.000000000058</v>
      </c>
      <c r="N290" s="4" t="e">
        <f ca="1"/>
        <v>#VALUE!</v>
      </c>
      <c r="O290" s="4">
        <f ca="1"/>
        <v>0</v>
      </c>
      <c r="P290" s="13">
        <f ca="1"/>
        <v>0</v>
      </c>
    </row>
    <row r="291" spans="12:16">
      <c r="L291" s="5">
        <f t="shared" ca="1" si="22"/>
        <v>0.2845000000000002</v>
      </c>
      <c r="M291">
        <f t="shared" ca="1" si="21"/>
        <v>85350.000000000058</v>
      </c>
      <c r="N291" s="4" t="e">
        <f ca="1"/>
        <v>#VALUE!</v>
      </c>
      <c r="O291" s="4">
        <f ca="1"/>
        <v>0</v>
      </c>
      <c r="P291" s="13">
        <f ca="1"/>
        <v>0</v>
      </c>
    </row>
    <row r="292" spans="12:16">
      <c r="L292" s="5">
        <f t="shared" ca="1" si="22"/>
        <v>0.2855000000000002</v>
      </c>
      <c r="M292">
        <f t="shared" ca="1" si="21"/>
        <v>85650.000000000058</v>
      </c>
      <c r="N292" s="4" t="e">
        <f ca="1"/>
        <v>#VALUE!</v>
      </c>
      <c r="O292" s="4">
        <f ca="1"/>
        <v>0</v>
      </c>
      <c r="P292" s="13">
        <f ca="1"/>
        <v>0</v>
      </c>
    </row>
    <row r="293" spans="12:16">
      <c r="L293" s="5">
        <f t="shared" ca="1" si="22"/>
        <v>0.2865000000000002</v>
      </c>
      <c r="M293">
        <f t="shared" ca="1" si="21"/>
        <v>85950.000000000058</v>
      </c>
      <c r="N293" s="4" t="e">
        <f ca="1"/>
        <v>#VALUE!</v>
      </c>
      <c r="O293" s="4">
        <f ca="1"/>
        <v>0</v>
      </c>
      <c r="P293" s="13">
        <f ca="1"/>
        <v>0</v>
      </c>
    </row>
    <row r="294" spans="12:16">
      <c r="L294" s="5">
        <f t="shared" ca="1" si="22"/>
        <v>0.2875000000000002</v>
      </c>
      <c r="M294">
        <f t="shared" ca="1" si="21"/>
        <v>86250.000000000058</v>
      </c>
      <c r="N294" s="4" t="e">
        <f ca="1"/>
        <v>#VALUE!</v>
      </c>
      <c r="O294" s="4">
        <f ca="1"/>
        <v>0</v>
      </c>
      <c r="P294" s="13">
        <f ca="1"/>
        <v>0</v>
      </c>
    </row>
    <row r="295" spans="12:16">
      <c r="L295" s="5">
        <f t="shared" ca="1" si="22"/>
        <v>0.2885000000000002</v>
      </c>
      <c r="M295">
        <f t="shared" ca="1" si="21"/>
        <v>86550.000000000058</v>
      </c>
      <c r="N295" s="4" t="e">
        <f ca="1"/>
        <v>#VALUE!</v>
      </c>
      <c r="O295" s="4">
        <f ca="1"/>
        <v>0</v>
      </c>
      <c r="P295" s="13">
        <f ca="1"/>
        <v>0</v>
      </c>
    </row>
    <row r="296" spans="12:16">
      <c r="L296" s="5">
        <f t="shared" ca="1" si="22"/>
        <v>0.2895000000000002</v>
      </c>
      <c r="M296">
        <f t="shared" ca="1" si="21"/>
        <v>86850.000000000058</v>
      </c>
      <c r="N296" s="4" t="e">
        <f ca="1"/>
        <v>#VALUE!</v>
      </c>
      <c r="O296" s="4">
        <f ca="1"/>
        <v>0</v>
      </c>
      <c r="P296" s="13">
        <f ca="1"/>
        <v>0</v>
      </c>
    </row>
    <row r="297" spans="12:16">
      <c r="L297" s="5">
        <f t="shared" ca="1" si="22"/>
        <v>0.2905000000000002</v>
      </c>
      <c r="M297">
        <f t="shared" ca="1" si="21"/>
        <v>87150.000000000058</v>
      </c>
      <c r="N297" s="4" t="e">
        <f ca="1"/>
        <v>#VALUE!</v>
      </c>
      <c r="O297" s="4">
        <f ca="1"/>
        <v>0</v>
      </c>
      <c r="P297" s="13">
        <f ca="1"/>
        <v>0</v>
      </c>
    </row>
    <row r="298" spans="12:16">
      <c r="L298" s="5">
        <f t="shared" ca="1" si="22"/>
        <v>0.2915000000000002</v>
      </c>
      <c r="M298">
        <f t="shared" ca="1" si="21"/>
        <v>87450.000000000058</v>
      </c>
      <c r="N298" s="4" t="e">
        <f ca="1"/>
        <v>#VALUE!</v>
      </c>
      <c r="O298" s="4">
        <f ca="1"/>
        <v>0</v>
      </c>
      <c r="P298" s="13">
        <f ca="1"/>
        <v>0</v>
      </c>
    </row>
    <row r="299" spans="12:16">
      <c r="L299" s="5">
        <f t="shared" ca="1" si="22"/>
        <v>0.2925000000000002</v>
      </c>
      <c r="M299">
        <f t="shared" ca="1" si="21"/>
        <v>87750.000000000058</v>
      </c>
      <c r="N299" s="4" t="e">
        <f ca="1"/>
        <v>#VALUE!</v>
      </c>
      <c r="O299" s="4">
        <f ca="1"/>
        <v>0</v>
      </c>
      <c r="P299" s="13">
        <f ca="1"/>
        <v>0</v>
      </c>
    </row>
    <row r="300" spans="12:16">
      <c r="L300" s="5">
        <f t="shared" ca="1" si="22"/>
        <v>0.29350000000000021</v>
      </c>
      <c r="M300">
        <f t="shared" ca="1" si="21"/>
        <v>88050.000000000058</v>
      </c>
      <c r="N300" s="4" t="e">
        <f ca="1"/>
        <v>#VALUE!</v>
      </c>
      <c r="O300" s="4">
        <f ca="1"/>
        <v>0</v>
      </c>
      <c r="P300" s="13">
        <f ca="1"/>
        <v>0</v>
      </c>
    </row>
    <row r="301" spans="12:16">
      <c r="L301" s="5">
        <f t="shared" ca="1" si="22"/>
        <v>0.29450000000000021</v>
      </c>
      <c r="M301">
        <f t="shared" ca="1" si="21"/>
        <v>88350.000000000058</v>
      </c>
      <c r="N301" s="4" t="e">
        <f ca="1"/>
        <v>#VALUE!</v>
      </c>
      <c r="O301" s="4">
        <f ca="1"/>
        <v>0</v>
      </c>
      <c r="P301" s="13">
        <f ca="1"/>
        <v>0</v>
      </c>
    </row>
    <row r="302" spans="12:16">
      <c r="L302" s="5">
        <f t="shared" ca="1" si="22"/>
        <v>0.29550000000000021</v>
      </c>
      <c r="M302">
        <f t="shared" ca="1" si="21"/>
        <v>88650.000000000058</v>
      </c>
      <c r="N302" s="4" t="e">
        <f ca="1"/>
        <v>#VALUE!</v>
      </c>
      <c r="O302" s="4">
        <f ca="1"/>
        <v>0</v>
      </c>
      <c r="P302" s="13">
        <f ca="1"/>
        <v>0</v>
      </c>
    </row>
    <row r="303" spans="12:16">
      <c r="L303" s="5">
        <f t="shared" ca="1" si="22"/>
        <v>0.29650000000000021</v>
      </c>
      <c r="M303">
        <f t="shared" ca="1" si="21"/>
        <v>88950.000000000058</v>
      </c>
      <c r="N303" s="4" t="e">
        <f ca="1"/>
        <v>#VALUE!</v>
      </c>
      <c r="O303" s="4">
        <f ca="1"/>
        <v>0</v>
      </c>
      <c r="P303" s="13">
        <f ca="1"/>
        <v>0</v>
      </c>
    </row>
    <row r="304" spans="12:16">
      <c r="L304" s="5">
        <f t="shared" ca="1" si="22"/>
        <v>0.29750000000000021</v>
      </c>
      <c r="M304">
        <f t="shared" ca="1" si="21"/>
        <v>89250.000000000058</v>
      </c>
      <c r="N304" s="4" t="e">
        <f ca="1"/>
        <v>#VALUE!</v>
      </c>
      <c r="O304" s="4">
        <f ca="1"/>
        <v>0</v>
      </c>
      <c r="P304" s="13">
        <f ca="1"/>
        <v>0</v>
      </c>
    </row>
    <row r="305" spans="12:16">
      <c r="L305" s="5">
        <f t="shared" ca="1" si="22"/>
        <v>0.29850000000000021</v>
      </c>
      <c r="M305">
        <f t="shared" ca="1" si="21"/>
        <v>89550.000000000058</v>
      </c>
      <c r="N305" s="4" t="e">
        <f ca="1"/>
        <v>#VALUE!</v>
      </c>
      <c r="O305" s="4">
        <f ca="1"/>
        <v>0</v>
      </c>
      <c r="P305" s="13">
        <f ca="1"/>
        <v>0</v>
      </c>
    </row>
    <row r="306" spans="12:16">
      <c r="L306" s="5">
        <f t="shared" ca="1" si="22"/>
        <v>0.29950000000000021</v>
      </c>
      <c r="M306">
        <f t="shared" ca="1" si="21"/>
        <v>89850.000000000058</v>
      </c>
      <c r="N306" s="4" t="e">
        <f ca="1"/>
        <v>#VALUE!</v>
      </c>
      <c r="O306" s="4">
        <f ca="1"/>
        <v>0</v>
      </c>
      <c r="P306" s="13">
        <f ca="1"/>
        <v>0</v>
      </c>
    </row>
    <row r="307" spans="12:16">
      <c r="L307" s="5">
        <f t="shared" ca="1" si="22"/>
        <v>0.30050000000000021</v>
      </c>
      <c r="M307">
        <f t="shared" ca="1" si="21"/>
        <v>90150.000000000058</v>
      </c>
      <c r="N307" s="4" t="e">
        <f ca="1"/>
        <v>#VALUE!</v>
      </c>
      <c r="O307" s="4">
        <f ca="1"/>
        <v>0</v>
      </c>
      <c r="P307" s="13">
        <f ca="1"/>
        <v>0</v>
      </c>
    </row>
    <row r="308" spans="12:16">
      <c r="L308" s="5">
        <f t="shared" ca="1" si="22"/>
        <v>0.30150000000000021</v>
      </c>
      <c r="M308">
        <f t="shared" ca="1" si="21"/>
        <v>90450.000000000058</v>
      </c>
      <c r="N308" s="4" t="e">
        <f ca="1"/>
        <v>#VALUE!</v>
      </c>
      <c r="O308" s="4">
        <f ca="1"/>
        <v>0</v>
      </c>
      <c r="P308" s="13">
        <f ca="1"/>
        <v>0</v>
      </c>
    </row>
    <row r="309" spans="12:16">
      <c r="L309" s="5">
        <f t="shared" ca="1" si="22"/>
        <v>0.30250000000000021</v>
      </c>
      <c r="M309">
        <f t="shared" ca="1" si="21"/>
        <v>90750.000000000058</v>
      </c>
      <c r="N309" s="4" t="e">
        <f ca="1"/>
        <v>#VALUE!</v>
      </c>
      <c r="O309" s="4">
        <f ca="1"/>
        <v>0</v>
      </c>
      <c r="P309" s="13">
        <f ca="1"/>
        <v>0</v>
      </c>
    </row>
    <row r="310" spans="12:16">
      <c r="L310" s="5">
        <f t="shared" ca="1" si="22"/>
        <v>0.30350000000000021</v>
      </c>
      <c r="M310">
        <f t="shared" ca="1" si="21"/>
        <v>91050.000000000058</v>
      </c>
      <c r="N310" s="4" t="e">
        <f ca="1"/>
        <v>#VALUE!</v>
      </c>
      <c r="O310" s="4">
        <f ca="1"/>
        <v>0</v>
      </c>
      <c r="P310" s="13">
        <f ca="1"/>
        <v>0</v>
      </c>
    </row>
    <row r="311" spans="12:16">
      <c r="L311" s="5">
        <f t="shared" ca="1" si="22"/>
        <v>0.30450000000000021</v>
      </c>
      <c r="M311">
        <f t="shared" ca="1" si="21"/>
        <v>91350.000000000058</v>
      </c>
      <c r="N311" s="4" t="e">
        <f ca="1"/>
        <v>#VALUE!</v>
      </c>
      <c r="O311" s="4">
        <f ca="1"/>
        <v>0</v>
      </c>
      <c r="P311" s="13">
        <f ca="1"/>
        <v>0</v>
      </c>
    </row>
    <row r="312" spans="12:16">
      <c r="L312" s="5">
        <f t="shared" ca="1" si="22"/>
        <v>0.30550000000000022</v>
      </c>
      <c r="M312">
        <f t="shared" ca="1" si="21"/>
        <v>91650.000000000058</v>
      </c>
      <c r="N312" s="4" t="e">
        <f ca="1"/>
        <v>#VALUE!</v>
      </c>
      <c r="O312" s="4">
        <f ca="1"/>
        <v>0</v>
      </c>
      <c r="P312" s="13">
        <f ca="1"/>
        <v>0</v>
      </c>
    </row>
    <row r="313" spans="12:16">
      <c r="L313" s="5">
        <f t="shared" ca="1" si="22"/>
        <v>0.30650000000000022</v>
      </c>
      <c r="M313">
        <f t="shared" ca="1" si="21"/>
        <v>91950.000000000058</v>
      </c>
      <c r="N313" s="4" t="e">
        <f ca="1"/>
        <v>#VALUE!</v>
      </c>
      <c r="O313" s="4">
        <f ca="1"/>
        <v>0</v>
      </c>
      <c r="P313" s="13">
        <f ca="1"/>
        <v>0</v>
      </c>
    </row>
    <row r="314" spans="12:16">
      <c r="L314" s="5">
        <f t="shared" ca="1" si="22"/>
        <v>0.30750000000000022</v>
      </c>
      <c r="M314">
        <f t="shared" ca="1" si="21"/>
        <v>92250.000000000058</v>
      </c>
      <c r="N314" s="4" t="e">
        <f ca="1"/>
        <v>#VALUE!</v>
      </c>
      <c r="O314" s="4">
        <f ca="1"/>
        <v>0</v>
      </c>
      <c r="P314" s="13">
        <f ca="1"/>
        <v>0</v>
      </c>
    </row>
    <row r="315" spans="12:16">
      <c r="L315" s="5">
        <f t="shared" ca="1" si="22"/>
        <v>0.30850000000000022</v>
      </c>
      <c r="M315">
        <f t="shared" ca="1" si="21"/>
        <v>92550.000000000073</v>
      </c>
      <c r="N315" s="4" t="e">
        <f ca="1"/>
        <v>#VALUE!</v>
      </c>
      <c r="O315" s="4">
        <f ca="1"/>
        <v>0</v>
      </c>
      <c r="P315" s="13">
        <f ca="1"/>
        <v>0</v>
      </c>
    </row>
    <row r="316" spans="12:16">
      <c r="L316" s="5">
        <f t="shared" ca="1" si="22"/>
        <v>0.30950000000000022</v>
      </c>
      <c r="M316">
        <f t="shared" ca="1" si="21"/>
        <v>92850.000000000073</v>
      </c>
      <c r="N316" s="4" t="e">
        <f ca="1"/>
        <v>#VALUE!</v>
      </c>
      <c r="O316" s="4">
        <f ca="1"/>
        <v>0</v>
      </c>
      <c r="P316" s="13">
        <f ca="1"/>
        <v>0</v>
      </c>
    </row>
    <row r="317" spans="12:16">
      <c r="L317" s="5">
        <f t="shared" ca="1" si="22"/>
        <v>0.31050000000000022</v>
      </c>
      <c r="M317">
        <f t="shared" ca="1" si="21"/>
        <v>93150.000000000073</v>
      </c>
      <c r="N317" s="4" t="e">
        <f ca="1"/>
        <v>#VALUE!</v>
      </c>
      <c r="O317" s="4">
        <f ca="1"/>
        <v>0</v>
      </c>
      <c r="P317" s="13">
        <f ca="1"/>
        <v>0</v>
      </c>
    </row>
    <row r="318" spans="12:16">
      <c r="L318" s="5">
        <f t="shared" ca="1" si="22"/>
        <v>0.31150000000000022</v>
      </c>
      <c r="M318">
        <f t="shared" ca="1" si="21"/>
        <v>93450.000000000073</v>
      </c>
      <c r="N318" s="4" t="e">
        <f ca="1"/>
        <v>#VALUE!</v>
      </c>
      <c r="O318" s="4">
        <f ca="1"/>
        <v>0</v>
      </c>
      <c r="P318" s="13">
        <f ca="1"/>
        <v>0</v>
      </c>
    </row>
    <row r="319" spans="12:16">
      <c r="L319" s="5">
        <f t="shared" ca="1" si="22"/>
        <v>0.31250000000000022</v>
      </c>
      <c r="M319">
        <f t="shared" ca="1" si="21"/>
        <v>93750.000000000073</v>
      </c>
      <c r="N319" s="4" t="e">
        <f ca="1"/>
        <v>#VALUE!</v>
      </c>
      <c r="O319" s="4">
        <f ca="1"/>
        <v>0</v>
      </c>
      <c r="P319" s="13">
        <f ca="1"/>
        <v>0</v>
      </c>
    </row>
    <row r="320" spans="12:16">
      <c r="L320" s="5">
        <f t="shared" ca="1" si="22"/>
        <v>0.31350000000000022</v>
      </c>
      <c r="M320">
        <f t="shared" ca="1" si="21"/>
        <v>94050.000000000073</v>
      </c>
      <c r="N320" s="4" t="e">
        <f ca="1"/>
        <v>#VALUE!</v>
      </c>
      <c r="O320" s="4">
        <f ca="1"/>
        <v>0</v>
      </c>
      <c r="P320" s="13">
        <f ca="1"/>
        <v>0</v>
      </c>
    </row>
    <row r="321" spans="12:16">
      <c r="L321" s="5">
        <f t="shared" ca="1" si="22"/>
        <v>0.31450000000000022</v>
      </c>
      <c r="M321">
        <f t="shared" ca="1" si="21"/>
        <v>94350.000000000073</v>
      </c>
      <c r="N321" s="4" t="e">
        <f ca="1"/>
        <v>#VALUE!</v>
      </c>
      <c r="O321" s="4">
        <f ca="1"/>
        <v>0</v>
      </c>
      <c r="P321" s="13">
        <f ca="1"/>
        <v>0</v>
      </c>
    </row>
    <row r="322" spans="12:16">
      <c r="L322" s="5">
        <f t="shared" ca="1" si="22"/>
        <v>0.31550000000000022</v>
      </c>
      <c r="M322">
        <f t="shared" ca="1" si="21"/>
        <v>94650.000000000073</v>
      </c>
      <c r="N322" s="4" t="e">
        <f ca="1"/>
        <v>#VALUE!</v>
      </c>
      <c r="O322" s="4">
        <f ca="1"/>
        <v>0</v>
      </c>
      <c r="P322" s="13">
        <f ca="1"/>
        <v>0</v>
      </c>
    </row>
    <row r="323" spans="12:16">
      <c r="L323" s="5">
        <f t="shared" ca="1" si="22"/>
        <v>0.31650000000000023</v>
      </c>
      <c r="M323">
        <f t="shared" ca="1" si="21"/>
        <v>94950.000000000073</v>
      </c>
      <c r="N323" s="4" t="e">
        <f ca="1"/>
        <v>#VALUE!</v>
      </c>
      <c r="O323" s="4">
        <f ca="1"/>
        <v>0</v>
      </c>
      <c r="P323" s="13">
        <f ca="1"/>
        <v>0</v>
      </c>
    </row>
    <row r="324" spans="12:16">
      <c r="L324" s="5">
        <f t="shared" ca="1" si="22"/>
        <v>0.31750000000000023</v>
      </c>
      <c r="M324">
        <f t="shared" ca="1" si="21"/>
        <v>95250.000000000073</v>
      </c>
      <c r="N324" s="4" t="e">
        <f ca="1"/>
        <v>#VALUE!</v>
      </c>
      <c r="O324" s="4">
        <f ca="1"/>
        <v>0</v>
      </c>
      <c r="P324" s="13">
        <f ca="1"/>
        <v>0</v>
      </c>
    </row>
    <row r="325" spans="12:16">
      <c r="L325" s="5">
        <f t="shared" ca="1" si="22"/>
        <v>0.31850000000000023</v>
      </c>
      <c r="M325">
        <f t="shared" ca="1" si="21"/>
        <v>95550.000000000073</v>
      </c>
      <c r="N325" s="4" t="e">
        <f ca="1"/>
        <v>#VALUE!</v>
      </c>
      <c r="O325" s="4">
        <f ca="1"/>
        <v>0</v>
      </c>
      <c r="P325" s="13">
        <f ca="1"/>
        <v>0</v>
      </c>
    </row>
    <row r="326" spans="12:16">
      <c r="L326" s="5">
        <f t="shared" ca="1" si="22"/>
        <v>0.31950000000000023</v>
      </c>
      <c r="M326">
        <f t="shared" ref="M326:M389" ca="1" si="23">L326*$K$10</f>
        <v>95850.000000000073</v>
      </c>
      <c r="N326" s="4" t="e">
        <f ca="1"/>
        <v>#VALUE!</v>
      </c>
      <c r="O326" s="4">
        <f ca="1"/>
        <v>0</v>
      </c>
      <c r="P326" s="13">
        <f ca="1"/>
        <v>0</v>
      </c>
    </row>
    <row r="327" spans="12:16">
      <c r="L327" s="5">
        <f t="shared" ca="1" si="22"/>
        <v>0.32050000000000023</v>
      </c>
      <c r="M327">
        <f t="shared" ca="1" si="23"/>
        <v>96150.000000000073</v>
      </c>
      <c r="N327" s="4" t="e">
        <f ca="1"/>
        <v>#VALUE!</v>
      </c>
      <c r="O327" s="4">
        <f ca="1"/>
        <v>0</v>
      </c>
      <c r="P327" s="13">
        <f ca="1"/>
        <v>0</v>
      </c>
    </row>
    <row r="328" spans="12:16">
      <c r="L328" s="5">
        <f t="shared" ref="L328:L391" ca="1" si="24">L327+1/$K$7</f>
        <v>0.32150000000000023</v>
      </c>
      <c r="M328">
        <f t="shared" ca="1" si="23"/>
        <v>96450.000000000073</v>
      </c>
      <c r="N328" s="4" t="e">
        <f ca="1"/>
        <v>#VALUE!</v>
      </c>
      <c r="O328" s="4">
        <f ca="1"/>
        <v>0</v>
      </c>
      <c r="P328" s="13">
        <f ca="1"/>
        <v>0</v>
      </c>
    </row>
    <row r="329" spans="12:16">
      <c r="L329" s="5">
        <f t="shared" ca="1" si="24"/>
        <v>0.32250000000000023</v>
      </c>
      <c r="M329">
        <f t="shared" ca="1" si="23"/>
        <v>96750.000000000073</v>
      </c>
      <c r="N329" s="4" t="e">
        <f ca="1"/>
        <v>#VALUE!</v>
      </c>
      <c r="O329" s="4">
        <f ca="1"/>
        <v>0</v>
      </c>
      <c r="P329" s="13">
        <f ca="1"/>
        <v>0</v>
      </c>
    </row>
    <row r="330" spans="12:16">
      <c r="L330" s="5">
        <f t="shared" ca="1" si="24"/>
        <v>0.32350000000000023</v>
      </c>
      <c r="M330">
        <f t="shared" ca="1" si="23"/>
        <v>97050.000000000073</v>
      </c>
      <c r="N330" s="4" t="e">
        <f ca="1"/>
        <v>#VALUE!</v>
      </c>
      <c r="O330" s="4">
        <f ca="1"/>
        <v>0</v>
      </c>
      <c r="P330" s="13">
        <f ca="1"/>
        <v>0</v>
      </c>
    </row>
    <row r="331" spans="12:16">
      <c r="L331" s="5">
        <f t="shared" ca="1" si="24"/>
        <v>0.32450000000000023</v>
      </c>
      <c r="M331">
        <f t="shared" ca="1" si="23"/>
        <v>97350.000000000073</v>
      </c>
      <c r="N331" s="4" t="e">
        <f ca="1"/>
        <v>#VALUE!</v>
      </c>
      <c r="O331" s="4">
        <f ca="1"/>
        <v>0</v>
      </c>
      <c r="P331" s="13">
        <f ca="1"/>
        <v>0</v>
      </c>
    </row>
    <row r="332" spans="12:16">
      <c r="L332" s="5">
        <f t="shared" ca="1" si="24"/>
        <v>0.32550000000000023</v>
      </c>
      <c r="M332">
        <f t="shared" ca="1" si="23"/>
        <v>97650.000000000073</v>
      </c>
      <c r="N332" s="4" t="e">
        <f ca="1"/>
        <v>#VALUE!</v>
      </c>
      <c r="O332" s="4">
        <f ca="1"/>
        <v>0</v>
      </c>
      <c r="P332" s="13">
        <f ca="1"/>
        <v>0</v>
      </c>
    </row>
    <row r="333" spans="12:16">
      <c r="L333" s="5">
        <f t="shared" ca="1" si="24"/>
        <v>0.32650000000000023</v>
      </c>
      <c r="M333">
        <f t="shared" ca="1" si="23"/>
        <v>97950.000000000073</v>
      </c>
      <c r="N333" s="4" t="e">
        <f ca="1"/>
        <v>#VALUE!</v>
      </c>
      <c r="O333" s="4">
        <f ca="1"/>
        <v>0</v>
      </c>
      <c r="P333" s="13">
        <f ca="1"/>
        <v>0</v>
      </c>
    </row>
    <row r="334" spans="12:16">
      <c r="L334" s="5">
        <f t="shared" ca="1" si="24"/>
        <v>0.32750000000000024</v>
      </c>
      <c r="M334">
        <f t="shared" ca="1" si="23"/>
        <v>98250.000000000073</v>
      </c>
      <c r="N334" s="4" t="e">
        <f ca="1"/>
        <v>#VALUE!</v>
      </c>
      <c r="O334" s="4">
        <f ca="1"/>
        <v>0</v>
      </c>
      <c r="P334" s="13">
        <f ca="1"/>
        <v>0</v>
      </c>
    </row>
    <row r="335" spans="12:16">
      <c r="L335" s="5">
        <f t="shared" ca="1" si="24"/>
        <v>0.32850000000000024</v>
      </c>
      <c r="M335">
        <f t="shared" ca="1" si="23"/>
        <v>98550.000000000073</v>
      </c>
      <c r="N335" s="4" t="e">
        <f ca="1"/>
        <v>#VALUE!</v>
      </c>
      <c r="O335" s="4">
        <f ca="1"/>
        <v>0</v>
      </c>
      <c r="P335" s="13">
        <f ca="1"/>
        <v>0</v>
      </c>
    </row>
    <row r="336" spans="12:16">
      <c r="L336" s="5">
        <f t="shared" ca="1" si="24"/>
        <v>0.32950000000000024</v>
      </c>
      <c r="M336">
        <f t="shared" ca="1" si="23"/>
        <v>98850.000000000073</v>
      </c>
      <c r="N336" s="4" t="e">
        <f ca="1"/>
        <v>#VALUE!</v>
      </c>
      <c r="O336" s="4">
        <f ca="1"/>
        <v>0</v>
      </c>
      <c r="P336" s="13">
        <f ca="1"/>
        <v>0</v>
      </c>
    </row>
    <row r="337" spans="12:16">
      <c r="L337" s="5">
        <f t="shared" ca="1" si="24"/>
        <v>0.33050000000000024</v>
      </c>
      <c r="M337">
        <f t="shared" ca="1" si="23"/>
        <v>99150.000000000073</v>
      </c>
      <c r="N337" s="4" t="e">
        <f ca="1"/>
        <v>#VALUE!</v>
      </c>
      <c r="O337" s="4">
        <f ca="1"/>
        <v>0</v>
      </c>
      <c r="P337" s="13">
        <f ca="1"/>
        <v>0</v>
      </c>
    </row>
    <row r="338" spans="12:16">
      <c r="L338" s="5">
        <f t="shared" ca="1" si="24"/>
        <v>0.33150000000000024</v>
      </c>
      <c r="M338">
        <f t="shared" ca="1" si="23"/>
        <v>99450.000000000073</v>
      </c>
      <c r="N338" s="4" t="e">
        <f ca="1"/>
        <v>#VALUE!</v>
      </c>
      <c r="O338" s="4">
        <f ca="1"/>
        <v>0</v>
      </c>
      <c r="P338" s="13">
        <f ca="1"/>
        <v>0</v>
      </c>
    </row>
    <row r="339" spans="12:16">
      <c r="L339" s="5">
        <f t="shared" ca="1" si="24"/>
        <v>0.33250000000000024</v>
      </c>
      <c r="M339">
        <f t="shared" ca="1" si="23"/>
        <v>99750.000000000073</v>
      </c>
      <c r="N339" s="4" t="e">
        <f ca="1"/>
        <v>#VALUE!</v>
      </c>
      <c r="O339" s="4">
        <f ca="1"/>
        <v>0</v>
      </c>
      <c r="P339" s="13">
        <f ca="1"/>
        <v>0</v>
      </c>
    </row>
    <row r="340" spans="12:16">
      <c r="L340" s="5">
        <f t="shared" ca="1" si="24"/>
        <v>0.33350000000000024</v>
      </c>
      <c r="M340">
        <f t="shared" ca="1" si="23"/>
        <v>100050.00000000007</v>
      </c>
      <c r="N340" s="4" t="e">
        <f ca="1"/>
        <v>#VALUE!</v>
      </c>
      <c r="O340" s="4">
        <f ca="1"/>
        <v>0</v>
      </c>
      <c r="P340" s="13">
        <f ca="1"/>
        <v>0</v>
      </c>
    </row>
    <row r="341" spans="12:16">
      <c r="L341" s="5">
        <f t="shared" ca="1" si="24"/>
        <v>0.33450000000000024</v>
      </c>
      <c r="M341">
        <f t="shared" ca="1" si="23"/>
        <v>100350.00000000007</v>
      </c>
      <c r="N341" s="4" t="e">
        <f ca="1"/>
        <v>#VALUE!</v>
      </c>
      <c r="O341" s="4">
        <f ca="1"/>
        <v>0</v>
      </c>
      <c r="P341" s="13">
        <f ca="1"/>
        <v>0</v>
      </c>
    </row>
    <row r="342" spans="12:16">
      <c r="L342" s="5">
        <f t="shared" ca="1" si="24"/>
        <v>0.33550000000000024</v>
      </c>
      <c r="M342">
        <f t="shared" ca="1" si="23"/>
        <v>100650.00000000007</v>
      </c>
      <c r="N342" s="4" t="e">
        <f ca="1"/>
        <v>#VALUE!</v>
      </c>
      <c r="O342" s="4">
        <f ca="1"/>
        <v>0</v>
      </c>
      <c r="P342" s="13">
        <f ca="1"/>
        <v>0</v>
      </c>
    </row>
    <row r="343" spans="12:16">
      <c r="L343" s="5">
        <f t="shared" ca="1" si="24"/>
        <v>0.33650000000000024</v>
      </c>
      <c r="M343">
        <f t="shared" ca="1" si="23"/>
        <v>100950.00000000007</v>
      </c>
      <c r="N343" s="4" t="e">
        <f ca="1"/>
        <v>#VALUE!</v>
      </c>
      <c r="O343" s="4">
        <f ca="1"/>
        <v>0</v>
      </c>
      <c r="P343" s="13">
        <f ca="1"/>
        <v>0</v>
      </c>
    </row>
    <row r="344" spans="12:16">
      <c r="L344" s="5">
        <f t="shared" ca="1" si="24"/>
        <v>0.33750000000000024</v>
      </c>
      <c r="M344">
        <f t="shared" ca="1" si="23"/>
        <v>101250.00000000007</v>
      </c>
      <c r="N344" s="4" t="e">
        <f ca="1"/>
        <v>#VALUE!</v>
      </c>
      <c r="O344" s="4">
        <f ca="1"/>
        <v>0</v>
      </c>
      <c r="P344" s="13">
        <f ca="1"/>
        <v>0</v>
      </c>
    </row>
    <row r="345" spans="12:16">
      <c r="L345" s="5">
        <f t="shared" ca="1" si="24"/>
        <v>0.33850000000000025</v>
      </c>
      <c r="M345">
        <f t="shared" ca="1" si="23"/>
        <v>101550.00000000007</v>
      </c>
      <c r="N345" s="4" t="e">
        <f ca="1"/>
        <v>#VALUE!</v>
      </c>
      <c r="O345" s="4">
        <f ca="1"/>
        <v>0</v>
      </c>
      <c r="P345" s="13">
        <f ca="1"/>
        <v>0</v>
      </c>
    </row>
    <row r="346" spans="12:16">
      <c r="L346" s="5">
        <f t="shared" ca="1" si="24"/>
        <v>0.33950000000000025</v>
      </c>
      <c r="M346">
        <f t="shared" ca="1" si="23"/>
        <v>101850.00000000007</v>
      </c>
      <c r="N346" s="4" t="e">
        <f ca="1"/>
        <v>#VALUE!</v>
      </c>
      <c r="O346" s="4">
        <f ca="1"/>
        <v>0</v>
      </c>
      <c r="P346" s="13">
        <f ca="1"/>
        <v>0</v>
      </c>
    </row>
    <row r="347" spans="12:16">
      <c r="L347" s="5">
        <f t="shared" ca="1" si="24"/>
        <v>0.34050000000000025</v>
      </c>
      <c r="M347">
        <f t="shared" ca="1" si="23"/>
        <v>102150.00000000007</v>
      </c>
      <c r="N347" s="4" t="e">
        <f ca="1"/>
        <v>#VALUE!</v>
      </c>
      <c r="O347" s="4">
        <f ca="1"/>
        <v>0</v>
      </c>
      <c r="P347" s="13">
        <f ca="1"/>
        <v>0</v>
      </c>
    </row>
    <row r="348" spans="12:16">
      <c r="L348" s="5">
        <f t="shared" ca="1" si="24"/>
        <v>0.34150000000000025</v>
      </c>
      <c r="M348">
        <f t="shared" ca="1" si="23"/>
        <v>102450.00000000007</v>
      </c>
      <c r="N348" s="4" t="e">
        <f ca="1"/>
        <v>#VALUE!</v>
      </c>
      <c r="O348" s="4">
        <f ca="1"/>
        <v>0</v>
      </c>
      <c r="P348" s="13">
        <f ca="1"/>
        <v>0</v>
      </c>
    </row>
    <row r="349" spans="12:16">
      <c r="L349" s="5">
        <f t="shared" ca="1" si="24"/>
        <v>0.34250000000000025</v>
      </c>
      <c r="M349">
        <f t="shared" ca="1" si="23"/>
        <v>102750.00000000007</v>
      </c>
      <c r="N349" s="4" t="e">
        <f ca="1"/>
        <v>#VALUE!</v>
      </c>
      <c r="O349" s="4">
        <f ca="1"/>
        <v>0</v>
      </c>
      <c r="P349" s="13">
        <f ca="1"/>
        <v>0</v>
      </c>
    </row>
    <row r="350" spans="12:16">
      <c r="L350" s="5">
        <f t="shared" ca="1" si="24"/>
        <v>0.34350000000000025</v>
      </c>
      <c r="M350">
        <f t="shared" ca="1" si="23"/>
        <v>103050.00000000007</v>
      </c>
      <c r="N350" s="4" t="e">
        <f ca="1"/>
        <v>#VALUE!</v>
      </c>
      <c r="O350" s="4">
        <f ca="1"/>
        <v>0</v>
      </c>
      <c r="P350" s="13">
        <f ca="1"/>
        <v>0</v>
      </c>
    </row>
    <row r="351" spans="12:16">
      <c r="L351" s="5">
        <f t="shared" ca="1" si="24"/>
        <v>0.34450000000000025</v>
      </c>
      <c r="M351">
        <f t="shared" ca="1" si="23"/>
        <v>103350.00000000007</v>
      </c>
      <c r="N351" s="4" t="e">
        <f ca="1"/>
        <v>#VALUE!</v>
      </c>
      <c r="O351" s="4">
        <f ca="1"/>
        <v>0</v>
      </c>
      <c r="P351" s="13">
        <f ca="1"/>
        <v>0</v>
      </c>
    </row>
    <row r="352" spans="12:16">
      <c r="L352" s="5">
        <f t="shared" ca="1" si="24"/>
        <v>0.34550000000000025</v>
      </c>
      <c r="M352">
        <f t="shared" ca="1" si="23"/>
        <v>103650.00000000007</v>
      </c>
      <c r="N352" s="4" t="e">
        <f ca="1"/>
        <v>#VALUE!</v>
      </c>
      <c r="O352" s="4">
        <f ca="1"/>
        <v>0</v>
      </c>
      <c r="P352" s="13">
        <f ca="1"/>
        <v>0</v>
      </c>
    </row>
    <row r="353" spans="12:16">
      <c r="L353" s="5">
        <f t="shared" ca="1" si="24"/>
        <v>0.34650000000000025</v>
      </c>
      <c r="M353">
        <f t="shared" ca="1" si="23"/>
        <v>103950.00000000007</v>
      </c>
      <c r="N353" s="4" t="e">
        <f ca="1"/>
        <v>#VALUE!</v>
      </c>
      <c r="O353" s="4">
        <f ca="1"/>
        <v>0</v>
      </c>
      <c r="P353" s="13">
        <f ca="1"/>
        <v>0</v>
      </c>
    </row>
    <row r="354" spans="12:16">
      <c r="L354" s="5">
        <f t="shared" ca="1" si="24"/>
        <v>0.34750000000000025</v>
      </c>
      <c r="M354">
        <f t="shared" ca="1" si="23"/>
        <v>104250.00000000007</v>
      </c>
      <c r="N354" s="4" t="e">
        <f ca="1"/>
        <v>#VALUE!</v>
      </c>
      <c r="O354" s="4">
        <f ca="1"/>
        <v>0</v>
      </c>
      <c r="P354" s="13">
        <f ca="1"/>
        <v>0</v>
      </c>
    </row>
    <row r="355" spans="12:16">
      <c r="L355" s="5">
        <f t="shared" ca="1" si="24"/>
        <v>0.34850000000000025</v>
      </c>
      <c r="M355">
        <f t="shared" ca="1" si="23"/>
        <v>104550.00000000007</v>
      </c>
      <c r="N355" s="4" t="e">
        <f ca="1"/>
        <v>#VALUE!</v>
      </c>
      <c r="O355" s="4">
        <f ca="1"/>
        <v>0</v>
      </c>
      <c r="P355" s="13">
        <f ca="1"/>
        <v>0</v>
      </c>
    </row>
    <row r="356" spans="12:16">
      <c r="L356" s="5">
        <f t="shared" ca="1" si="24"/>
        <v>0.34950000000000025</v>
      </c>
      <c r="M356">
        <f t="shared" ca="1" si="23"/>
        <v>104850.00000000007</v>
      </c>
      <c r="N356" s="4" t="e">
        <f ca="1"/>
        <v>#VALUE!</v>
      </c>
      <c r="O356" s="4">
        <f ca="1"/>
        <v>0</v>
      </c>
      <c r="P356" s="13">
        <f ca="1"/>
        <v>0</v>
      </c>
    </row>
    <row r="357" spans="12:16">
      <c r="L357" s="5">
        <f t="shared" ca="1" si="24"/>
        <v>0.35050000000000026</v>
      </c>
      <c r="M357">
        <f t="shared" ca="1" si="23"/>
        <v>105150.00000000007</v>
      </c>
      <c r="N357" s="4" t="e">
        <f ca="1"/>
        <v>#VALUE!</v>
      </c>
      <c r="O357" s="4">
        <f ca="1"/>
        <v>0</v>
      </c>
      <c r="P357" s="13">
        <f ca="1"/>
        <v>0</v>
      </c>
    </row>
    <row r="358" spans="12:16">
      <c r="L358" s="5">
        <f t="shared" ca="1" si="24"/>
        <v>0.35150000000000026</v>
      </c>
      <c r="M358">
        <f t="shared" ca="1" si="23"/>
        <v>105450.00000000007</v>
      </c>
      <c r="N358" s="4" t="e">
        <f ca="1"/>
        <v>#VALUE!</v>
      </c>
      <c r="O358" s="4">
        <f ca="1"/>
        <v>0</v>
      </c>
      <c r="P358" s="13">
        <f ca="1"/>
        <v>0</v>
      </c>
    </row>
    <row r="359" spans="12:16">
      <c r="L359" s="5">
        <f t="shared" ca="1" si="24"/>
        <v>0.35250000000000026</v>
      </c>
      <c r="M359">
        <f t="shared" ca="1" si="23"/>
        <v>105750.00000000007</v>
      </c>
      <c r="N359" s="4" t="e">
        <f ca="1"/>
        <v>#VALUE!</v>
      </c>
      <c r="O359" s="4">
        <f ca="1"/>
        <v>0</v>
      </c>
      <c r="P359" s="13">
        <f ca="1"/>
        <v>0</v>
      </c>
    </row>
    <row r="360" spans="12:16">
      <c r="L360" s="5">
        <f t="shared" ca="1" si="24"/>
        <v>0.35350000000000026</v>
      </c>
      <c r="M360">
        <f t="shared" ca="1" si="23"/>
        <v>106050.00000000007</v>
      </c>
      <c r="N360" s="4" t="e">
        <f ca="1"/>
        <v>#VALUE!</v>
      </c>
      <c r="O360" s="4">
        <f ca="1"/>
        <v>0</v>
      </c>
      <c r="P360" s="13">
        <f ca="1"/>
        <v>0</v>
      </c>
    </row>
    <row r="361" spans="12:16">
      <c r="L361" s="5">
        <f t="shared" ca="1" si="24"/>
        <v>0.35450000000000026</v>
      </c>
      <c r="M361">
        <f t="shared" ca="1" si="23"/>
        <v>106350.00000000007</v>
      </c>
      <c r="N361" s="4" t="e">
        <f ca="1"/>
        <v>#VALUE!</v>
      </c>
      <c r="O361" s="4">
        <f ca="1"/>
        <v>0</v>
      </c>
      <c r="P361" s="13">
        <f ca="1"/>
        <v>0</v>
      </c>
    </row>
    <row r="362" spans="12:16">
      <c r="L362" s="5">
        <f t="shared" ca="1" si="24"/>
        <v>0.35550000000000026</v>
      </c>
      <c r="M362">
        <f t="shared" ca="1" si="23"/>
        <v>106650.00000000007</v>
      </c>
      <c r="N362" s="4" t="e">
        <f ca="1"/>
        <v>#VALUE!</v>
      </c>
      <c r="O362" s="4">
        <f ca="1"/>
        <v>0</v>
      </c>
      <c r="P362" s="13">
        <f ca="1"/>
        <v>0</v>
      </c>
    </row>
    <row r="363" spans="12:16">
      <c r="L363" s="5">
        <f t="shared" ca="1" si="24"/>
        <v>0.35650000000000026</v>
      </c>
      <c r="M363">
        <f t="shared" ca="1" si="23"/>
        <v>106950.00000000007</v>
      </c>
      <c r="N363" s="4" t="e">
        <f ca="1"/>
        <v>#VALUE!</v>
      </c>
      <c r="O363" s="4">
        <f ca="1"/>
        <v>0</v>
      </c>
      <c r="P363" s="13">
        <f ca="1"/>
        <v>0</v>
      </c>
    </row>
    <row r="364" spans="12:16">
      <c r="L364" s="5">
        <f t="shared" ca="1" si="24"/>
        <v>0.35750000000000026</v>
      </c>
      <c r="M364">
        <f t="shared" ca="1" si="23"/>
        <v>107250.00000000007</v>
      </c>
      <c r="N364" s="4" t="e">
        <f ca="1"/>
        <v>#VALUE!</v>
      </c>
      <c r="O364" s="4">
        <f ca="1"/>
        <v>0</v>
      </c>
      <c r="P364" s="13">
        <f ca="1"/>
        <v>0</v>
      </c>
    </row>
    <row r="365" spans="12:16">
      <c r="L365" s="5">
        <f t="shared" ca="1" si="24"/>
        <v>0.35850000000000026</v>
      </c>
      <c r="M365">
        <f t="shared" ca="1" si="23"/>
        <v>107550.00000000007</v>
      </c>
      <c r="N365" s="4" t="e">
        <f ca="1"/>
        <v>#VALUE!</v>
      </c>
      <c r="O365" s="4">
        <f ca="1"/>
        <v>0</v>
      </c>
      <c r="P365" s="13">
        <f ca="1"/>
        <v>0</v>
      </c>
    </row>
    <row r="366" spans="12:16">
      <c r="L366" s="5">
        <f t="shared" ca="1" si="24"/>
        <v>0.35950000000000026</v>
      </c>
      <c r="M366">
        <f t="shared" ca="1" si="23"/>
        <v>107850.00000000007</v>
      </c>
      <c r="N366" s="4" t="e">
        <f ca="1"/>
        <v>#VALUE!</v>
      </c>
      <c r="O366" s="4">
        <f ca="1"/>
        <v>0</v>
      </c>
      <c r="P366" s="13">
        <f ca="1"/>
        <v>0</v>
      </c>
    </row>
    <row r="367" spans="12:16">
      <c r="L367" s="5">
        <f t="shared" ca="1" si="24"/>
        <v>0.36050000000000026</v>
      </c>
      <c r="M367">
        <f t="shared" ca="1" si="23"/>
        <v>108150.00000000007</v>
      </c>
      <c r="N367" s="4" t="e">
        <f ca="1"/>
        <v>#VALUE!</v>
      </c>
      <c r="O367" s="4">
        <f ca="1"/>
        <v>0</v>
      </c>
      <c r="P367" s="13">
        <f ca="1"/>
        <v>0</v>
      </c>
    </row>
    <row r="368" spans="12:16">
      <c r="L368" s="5">
        <f t="shared" ca="1" si="24"/>
        <v>0.36150000000000027</v>
      </c>
      <c r="M368">
        <f t="shared" ca="1" si="23"/>
        <v>108450.00000000007</v>
      </c>
      <c r="N368" s="4" t="e">
        <f ca="1"/>
        <v>#VALUE!</v>
      </c>
      <c r="O368" s="4">
        <f ca="1"/>
        <v>0</v>
      </c>
      <c r="P368" s="13">
        <f ca="1"/>
        <v>0</v>
      </c>
    </row>
    <row r="369" spans="12:16">
      <c r="L369" s="5">
        <f t="shared" ca="1" si="24"/>
        <v>0.36250000000000027</v>
      </c>
      <c r="M369">
        <f t="shared" ca="1" si="23"/>
        <v>108750.00000000007</v>
      </c>
      <c r="N369" s="4" t="e">
        <f ca="1"/>
        <v>#VALUE!</v>
      </c>
      <c r="O369" s="4">
        <f ca="1"/>
        <v>0</v>
      </c>
      <c r="P369" s="13">
        <f ca="1"/>
        <v>0</v>
      </c>
    </row>
    <row r="370" spans="12:16">
      <c r="L370" s="5">
        <f t="shared" ca="1" si="24"/>
        <v>0.36350000000000027</v>
      </c>
      <c r="M370">
        <f t="shared" ca="1" si="23"/>
        <v>109050.00000000009</v>
      </c>
      <c r="N370" s="4" t="e">
        <f ca="1"/>
        <v>#VALUE!</v>
      </c>
      <c r="O370" s="4">
        <f ca="1"/>
        <v>0</v>
      </c>
      <c r="P370" s="13">
        <f ca="1"/>
        <v>0</v>
      </c>
    </row>
    <row r="371" spans="12:16">
      <c r="L371" s="5">
        <f t="shared" ca="1" si="24"/>
        <v>0.36450000000000027</v>
      </c>
      <c r="M371">
        <f t="shared" ca="1" si="23"/>
        <v>109350.00000000009</v>
      </c>
      <c r="N371" s="4" t="e">
        <f ca="1"/>
        <v>#VALUE!</v>
      </c>
      <c r="O371" s="4">
        <f ca="1"/>
        <v>0</v>
      </c>
      <c r="P371" s="13">
        <f ca="1"/>
        <v>0</v>
      </c>
    </row>
    <row r="372" spans="12:16">
      <c r="L372" s="5">
        <f t="shared" ca="1" si="24"/>
        <v>0.36550000000000027</v>
      </c>
      <c r="M372">
        <f t="shared" ca="1" si="23"/>
        <v>109650.00000000009</v>
      </c>
      <c r="N372" s="4" t="e">
        <f ca="1"/>
        <v>#VALUE!</v>
      </c>
      <c r="O372" s="4">
        <f ca="1"/>
        <v>0</v>
      </c>
      <c r="P372" s="13">
        <f ca="1"/>
        <v>0</v>
      </c>
    </row>
    <row r="373" spans="12:16">
      <c r="L373" s="5">
        <f t="shared" ca="1" si="24"/>
        <v>0.36650000000000027</v>
      </c>
      <c r="M373">
        <f t="shared" ca="1" si="23"/>
        <v>109950.00000000009</v>
      </c>
      <c r="N373" s="4" t="e">
        <f ca="1"/>
        <v>#VALUE!</v>
      </c>
      <c r="O373" s="4">
        <f ca="1"/>
        <v>0</v>
      </c>
      <c r="P373" s="13">
        <f ca="1"/>
        <v>0</v>
      </c>
    </row>
    <row r="374" spans="12:16">
      <c r="L374" s="5">
        <f t="shared" ca="1" si="24"/>
        <v>0.36750000000000027</v>
      </c>
      <c r="M374">
        <f t="shared" ca="1" si="23"/>
        <v>110250.00000000009</v>
      </c>
      <c r="N374" s="4" t="e">
        <f ca="1"/>
        <v>#VALUE!</v>
      </c>
      <c r="O374" s="4">
        <f ca="1"/>
        <v>0</v>
      </c>
      <c r="P374" s="13">
        <f ca="1"/>
        <v>0</v>
      </c>
    </row>
    <row r="375" spans="12:16">
      <c r="L375" s="5">
        <f t="shared" ca="1" si="24"/>
        <v>0.36850000000000027</v>
      </c>
      <c r="M375">
        <f t="shared" ca="1" si="23"/>
        <v>110550.00000000009</v>
      </c>
      <c r="N375" s="4" t="e">
        <f ca="1"/>
        <v>#VALUE!</v>
      </c>
      <c r="O375" s="4">
        <f ca="1"/>
        <v>0</v>
      </c>
      <c r="P375" s="13">
        <f ca="1"/>
        <v>0</v>
      </c>
    </row>
    <row r="376" spans="12:16">
      <c r="L376" s="5">
        <f t="shared" ca="1" si="24"/>
        <v>0.36950000000000027</v>
      </c>
      <c r="M376">
        <f t="shared" ca="1" si="23"/>
        <v>110850.00000000009</v>
      </c>
      <c r="N376" s="4" t="e">
        <f ca="1"/>
        <v>#VALUE!</v>
      </c>
      <c r="O376" s="4">
        <f ca="1"/>
        <v>0</v>
      </c>
      <c r="P376" s="13">
        <f ca="1"/>
        <v>0</v>
      </c>
    </row>
    <row r="377" spans="12:16">
      <c r="L377" s="5">
        <f t="shared" ca="1" si="24"/>
        <v>0.37050000000000027</v>
      </c>
      <c r="M377">
        <f t="shared" ca="1" si="23"/>
        <v>111150.00000000009</v>
      </c>
      <c r="N377" s="4" t="e">
        <f ca="1"/>
        <v>#VALUE!</v>
      </c>
      <c r="O377" s="4">
        <f ca="1"/>
        <v>0</v>
      </c>
      <c r="P377" s="13">
        <f ca="1"/>
        <v>0</v>
      </c>
    </row>
    <row r="378" spans="12:16">
      <c r="L378" s="5">
        <f t="shared" ca="1" si="24"/>
        <v>0.37150000000000027</v>
      </c>
      <c r="M378">
        <f t="shared" ca="1" si="23"/>
        <v>111450.00000000009</v>
      </c>
      <c r="N378" s="4" t="e">
        <f ca="1"/>
        <v>#VALUE!</v>
      </c>
      <c r="O378" s="4">
        <f ca="1"/>
        <v>0</v>
      </c>
      <c r="P378" s="13">
        <f ca="1"/>
        <v>0</v>
      </c>
    </row>
    <row r="379" spans="12:16">
      <c r="L379" s="5">
        <f t="shared" ca="1" si="24"/>
        <v>0.37250000000000028</v>
      </c>
      <c r="M379">
        <f t="shared" ca="1" si="23"/>
        <v>111750.00000000009</v>
      </c>
      <c r="N379" s="4" t="e">
        <f ca="1"/>
        <v>#VALUE!</v>
      </c>
      <c r="O379" s="4">
        <f ca="1"/>
        <v>0</v>
      </c>
      <c r="P379" s="13">
        <f ca="1"/>
        <v>0</v>
      </c>
    </row>
    <row r="380" spans="12:16">
      <c r="L380" s="5">
        <f t="shared" ca="1" si="24"/>
        <v>0.37350000000000028</v>
      </c>
      <c r="M380">
        <f t="shared" ca="1" si="23"/>
        <v>112050.00000000009</v>
      </c>
      <c r="N380" s="4" t="e">
        <f ca="1"/>
        <v>#VALUE!</v>
      </c>
      <c r="O380" s="4">
        <f ca="1"/>
        <v>0</v>
      </c>
      <c r="P380" s="13">
        <f ca="1"/>
        <v>0</v>
      </c>
    </row>
    <row r="381" spans="12:16">
      <c r="L381" s="5">
        <f t="shared" ca="1" si="24"/>
        <v>0.37450000000000028</v>
      </c>
      <c r="M381">
        <f t="shared" ca="1" si="23"/>
        <v>112350.00000000009</v>
      </c>
      <c r="N381" s="4" t="e">
        <f ca="1"/>
        <v>#VALUE!</v>
      </c>
      <c r="O381" s="4">
        <f ca="1"/>
        <v>0</v>
      </c>
      <c r="P381" s="13">
        <f ca="1"/>
        <v>0</v>
      </c>
    </row>
    <row r="382" spans="12:16">
      <c r="L382" s="5">
        <f t="shared" ca="1" si="24"/>
        <v>0.37550000000000028</v>
      </c>
      <c r="M382">
        <f t="shared" ca="1" si="23"/>
        <v>112650.00000000009</v>
      </c>
      <c r="N382" s="4" t="e">
        <f ca="1"/>
        <v>#VALUE!</v>
      </c>
      <c r="O382" s="4">
        <f ca="1"/>
        <v>0</v>
      </c>
      <c r="P382" s="13">
        <f ca="1"/>
        <v>0</v>
      </c>
    </row>
    <row r="383" spans="12:16">
      <c r="L383" s="5">
        <f t="shared" ca="1" si="24"/>
        <v>0.37650000000000028</v>
      </c>
      <c r="M383">
        <f t="shared" ca="1" si="23"/>
        <v>112950.00000000009</v>
      </c>
      <c r="N383" s="4" t="e">
        <f ca="1"/>
        <v>#VALUE!</v>
      </c>
      <c r="O383" s="4">
        <f ca="1"/>
        <v>0</v>
      </c>
      <c r="P383" s="13">
        <f ca="1"/>
        <v>0</v>
      </c>
    </row>
    <row r="384" spans="12:16">
      <c r="L384" s="5">
        <f t="shared" ca="1" si="24"/>
        <v>0.37750000000000028</v>
      </c>
      <c r="M384">
        <f t="shared" ca="1" si="23"/>
        <v>113250.00000000009</v>
      </c>
      <c r="N384" s="4" t="e">
        <f ca="1"/>
        <v>#VALUE!</v>
      </c>
      <c r="O384" s="4">
        <f ca="1"/>
        <v>0</v>
      </c>
      <c r="P384" s="13">
        <f ca="1"/>
        <v>0</v>
      </c>
    </row>
    <row r="385" spans="12:16">
      <c r="L385" s="5">
        <f t="shared" ca="1" si="24"/>
        <v>0.37850000000000028</v>
      </c>
      <c r="M385">
        <f t="shared" ca="1" si="23"/>
        <v>113550.00000000009</v>
      </c>
      <c r="N385" s="4" t="e">
        <f ca="1"/>
        <v>#VALUE!</v>
      </c>
      <c r="O385" s="4">
        <f ca="1"/>
        <v>0</v>
      </c>
      <c r="P385" s="13">
        <f ca="1"/>
        <v>0</v>
      </c>
    </row>
    <row r="386" spans="12:16">
      <c r="L386" s="5">
        <f t="shared" ca="1" si="24"/>
        <v>0.37950000000000028</v>
      </c>
      <c r="M386">
        <f t="shared" ca="1" si="23"/>
        <v>113850.00000000009</v>
      </c>
      <c r="N386" s="4" t="e">
        <f ca="1"/>
        <v>#VALUE!</v>
      </c>
      <c r="O386" s="4">
        <f ca="1"/>
        <v>0</v>
      </c>
      <c r="P386" s="13">
        <f ca="1"/>
        <v>0</v>
      </c>
    </row>
    <row r="387" spans="12:16">
      <c r="L387" s="5">
        <f t="shared" ca="1" si="24"/>
        <v>0.38050000000000028</v>
      </c>
      <c r="M387">
        <f t="shared" ca="1" si="23"/>
        <v>114150.00000000009</v>
      </c>
      <c r="N387" s="4" t="e">
        <f ca="1"/>
        <v>#VALUE!</v>
      </c>
      <c r="O387" s="4">
        <f ca="1"/>
        <v>0</v>
      </c>
      <c r="P387" s="13">
        <f ca="1"/>
        <v>0</v>
      </c>
    </row>
    <row r="388" spans="12:16">
      <c r="L388" s="5">
        <f t="shared" ca="1" si="24"/>
        <v>0.38150000000000028</v>
      </c>
      <c r="M388">
        <f t="shared" ca="1" si="23"/>
        <v>114450.00000000009</v>
      </c>
      <c r="N388" s="4" t="e">
        <f ca="1"/>
        <v>#VALUE!</v>
      </c>
      <c r="O388" s="4">
        <f ca="1"/>
        <v>0</v>
      </c>
      <c r="P388" s="13">
        <f ca="1"/>
        <v>0</v>
      </c>
    </row>
    <row r="389" spans="12:16">
      <c r="L389" s="5">
        <f t="shared" ca="1" si="24"/>
        <v>0.38250000000000028</v>
      </c>
      <c r="M389">
        <f t="shared" ca="1" si="23"/>
        <v>114750.00000000009</v>
      </c>
      <c r="N389" s="4" t="e">
        <f ca="1"/>
        <v>#VALUE!</v>
      </c>
      <c r="O389" s="4">
        <f ca="1"/>
        <v>0</v>
      </c>
      <c r="P389" s="13">
        <f ca="1"/>
        <v>0</v>
      </c>
    </row>
    <row r="390" spans="12:16">
      <c r="L390" s="5">
        <f t="shared" ca="1" si="24"/>
        <v>0.38350000000000029</v>
      </c>
      <c r="M390">
        <f t="shared" ref="M390:M453" ca="1" si="25">L390*$K$10</f>
        <v>115050.00000000009</v>
      </c>
      <c r="N390" s="4" t="e">
        <f ca="1"/>
        <v>#VALUE!</v>
      </c>
      <c r="O390" s="4">
        <f ca="1"/>
        <v>0</v>
      </c>
      <c r="P390" s="13">
        <f ca="1"/>
        <v>0</v>
      </c>
    </row>
    <row r="391" spans="12:16">
      <c r="L391" s="5">
        <f t="shared" ca="1" si="24"/>
        <v>0.38450000000000029</v>
      </c>
      <c r="M391">
        <f t="shared" ca="1" si="25"/>
        <v>115350.00000000009</v>
      </c>
      <c r="N391" s="4" t="e">
        <f ca="1"/>
        <v>#VALUE!</v>
      </c>
      <c r="O391" s="4">
        <f ca="1"/>
        <v>0</v>
      </c>
      <c r="P391" s="13">
        <f ca="1"/>
        <v>0</v>
      </c>
    </row>
    <row r="392" spans="12:16">
      <c r="L392" s="5">
        <f t="shared" ref="L392:L455" ca="1" si="26">L391+1/$K$7</f>
        <v>0.38550000000000029</v>
      </c>
      <c r="M392">
        <f t="shared" ca="1" si="25"/>
        <v>115650.00000000009</v>
      </c>
      <c r="N392" s="4" t="e">
        <f ca="1"/>
        <v>#VALUE!</v>
      </c>
      <c r="O392" s="4">
        <f ca="1"/>
        <v>0</v>
      </c>
      <c r="P392" s="13">
        <f ca="1"/>
        <v>0</v>
      </c>
    </row>
    <row r="393" spans="12:16">
      <c r="L393" s="5">
        <f t="shared" ca="1" si="26"/>
        <v>0.38650000000000029</v>
      </c>
      <c r="M393">
        <f t="shared" ca="1" si="25"/>
        <v>115950.00000000009</v>
      </c>
      <c r="N393" s="4" t="e">
        <f ca="1"/>
        <v>#VALUE!</v>
      </c>
      <c r="O393" s="4">
        <f ca="1"/>
        <v>0</v>
      </c>
      <c r="P393" s="13">
        <f ca="1"/>
        <v>0</v>
      </c>
    </row>
    <row r="394" spans="12:16">
      <c r="L394" s="5">
        <f t="shared" ca="1" si="26"/>
        <v>0.38750000000000029</v>
      </c>
      <c r="M394">
        <f t="shared" ca="1" si="25"/>
        <v>116250.00000000009</v>
      </c>
      <c r="N394" s="4" t="e">
        <f ca="1"/>
        <v>#VALUE!</v>
      </c>
      <c r="O394" s="4">
        <f ca="1"/>
        <v>0</v>
      </c>
      <c r="P394" s="13">
        <f ca="1"/>
        <v>0</v>
      </c>
    </row>
    <row r="395" spans="12:16">
      <c r="L395" s="5">
        <f t="shared" ca="1" si="26"/>
        <v>0.38850000000000029</v>
      </c>
      <c r="M395">
        <f t="shared" ca="1" si="25"/>
        <v>116550.00000000009</v>
      </c>
      <c r="N395" s="4" t="e">
        <f ca="1"/>
        <v>#VALUE!</v>
      </c>
      <c r="O395" s="4">
        <f ca="1"/>
        <v>0</v>
      </c>
      <c r="P395" s="13">
        <f ca="1"/>
        <v>0</v>
      </c>
    </row>
    <row r="396" spans="12:16">
      <c r="L396" s="5">
        <f t="shared" ca="1" si="26"/>
        <v>0.38950000000000029</v>
      </c>
      <c r="M396">
        <f t="shared" ca="1" si="25"/>
        <v>116850.00000000009</v>
      </c>
      <c r="N396" s="4" t="e">
        <f ca="1"/>
        <v>#VALUE!</v>
      </c>
      <c r="O396" s="4">
        <f ca="1"/>
        <v>0</v>
      </c>
      <c r="P396" s="13">
        <f ca="1"/>
        <v>0</v>
      </c>
    </row>
    <row r="397" spans="12:16">
      <c r="L397" s="5">
        <f t="shared" ca="1" si="26"/>
        <v>0.39050000000000029</v>
      </c>
      <c r="M397">
        <f t="shared" ca="1" si="25"/>
        <v>117150.00000000009</v>
      </c>
      <c r="N397" s="4" t="e">
        <f ca="1"/>
        <v>#VALUE!</v>
      </c>
      <c r="O397" s="4">
        <f ca="1"/>
        <v>0</v>
      </c>
      <c r="P397" s="13">
        <f ca="1"/>
        <v>0</v>
      </c>
    </row>
    <row r="398" spans="12:16">
      <c r="L398" s="5">
        <f t="shared" ca="1" si="26"/>
        <v>0.39150000000000029</v>
      </c>
      <c r="M398">
        <f t="shared" ca="1" si="25"/>
        <v>117450.00000000009</v>
      </c>
      <c r="N398" s="4" t="e">
        <f ca="1"/>
        <v>#VALUE!</v>
      </c>
      <c r="O398" s="4">
        <f ca="1"/>
        <v>0</v>
      </c>
      <c r="P398" s="13">
        <f ca="1"/>
        <v>0</v>
      </c>
    </row>
    <row r="399" spans="12:16">
      <c r="L399" s="5">
        <f t="shared" ca="1" si="26"/>
        <v>0.39250000000000029</v>
      </c>
      <c r="M399">
        <f t="shared" ca="1" si="25"/>
        <v>117750.00000000009</v>
      </c>
      <c r="N399" s="4" t="e">
        <f ca="1"/>
        <v>#VALUE!</v>
      </c>
      <c r="O399" s="4">
        <f ca="1"/>
        <v>0</v>
      </c>
      <c r="P399" s="13">
        <f ca="1"/>
        <v>0</v>
      </c>
    </row>
    <row r="400" spans="12:16">
      <c r="L400" s="5">
        <f t="shared" ca="1" si="26"/>
        <v>0.39350000000000029</v>
      </c>
      <c r="M400">
        <f t="shared" ca="1" si="25"/>
        <v>118050.00000000009</v>
      </c>
      <c r="N400" s="4" t="e">
        <f ca="1"/>
        <v>#VALUE!</v>
      </c>
      <c r="O400" s="4">
        <f ca="1"/>
        <v>0</v>
      </c>
      <c r="P400" s="13">
        <f ca="1"/>
        <v>0</v>
      </c>
    </row>
    <row r="401" spans="12:16">
      <c r="L401" s="5">
        <f t="shared" ca="1" si="26"/>
        <v>0.39450000000000029</v>
      </c>
      <c r="M401">
        <f t="shared" ca="1" si="25"/>
        <v>118350.00000000009</v>
      </c>
      <c r="N401" s="4" t="e">
        <f ca="1"/>
        <v>#VALUE!</v>
      </c>
      <c r="O401" s="4">
        <f ca="1"/>
        <v>0</v>
      </c>
      <c r="P401" s="13">
        <f ca="1"/>
        <v>0</v>
      </c>
    </row>
    <row r="402" spans="12:16">
      <c r="L402" s="5">
        <f t="shared" ca="1" si="26"/>
        <v>0.3955000000000003</v>
      </c>
      <c r="M402">
        <f t="shared" ca="1" si="25"/>
        <v>118650.00000000009</v>
      </c>
      <c r="N402" s="4" t="e">
        <f ca="1"/>
        <v>#VALUE!</v>
      </c>
      <c r="O402" s="4">
        <f ca="1"/>
        <v>0</v>
      </c>
      <c r="P402" s="13">
        <f ca="1"/>
        <v>0</v>
      </c>
    </row>
    <row r="403" spans="12:16">
      <c r="L403" s="5">
        <f t="shared" ca="1" si="26"/>
        <v>0.3965000000000003</v>
      </c>
      <c r="M403">
        <f t="shared" ca="1" si="25"/>
        <v>118950.00000000009</v>
      </c>
      <c r="N403" s="4" t="e">
        <f ca="1"/>
        <v>#VALUE!</v>
      </c>
      <c r="O403" s="4">
        <f ca="1"/>
        <v>0</v>
      </c>
      <c r="P403" s="13">
        <f ca="1"/>
        <v>0</v>
      </c>
    </row>
    <row r="404" spans="12:16">
      <c r="L404" s="5">
        <f t="shared" ca="1" si="26"/>
        <v>0.3975000000000003</v>
      </c>
      <c r="M404">
        <f t="shared" ca="1" si="25"/>
        <v>119250.00000000009</v>
      </c>
      <c r="N404" s="4" t="e">
        <f ca="1"/>
        <v>#VALUE!</v>
      </c>
      <c r="O404" s="4">
        <f ca="1"/>
        <v>0</v>
      </c>
      <c r="P404" s="13">
        <f ca="1"/>
        <v>0</v>
      </c>
    </row>
    <row r="405" spans="12:16">
      <c r="L405" s="5">
        <f t="shared" ca="1" si="26"/>
        <v>0.3985000000000003</v>
      </c>
      <c r="M405">
        <f t="shared" ca="1" si="25"/>
        <v>119550.00000000009</v>
      </c>
      <c r="N405" s="4" t="e">
        <f ca="1"/>
        <v>#VALUE!</v>
      </c>
      <c r="O405" s="4">
        <f ca="1"/>
        <v>0</v>
      </c>
      <c r="P405" s="13">
        <f ca="1"/>
        <v>0</v>
      </c>
    </row>
    <row r="406" spans="12:16">
      <c r="L406" s="5">
        <f t="shared" ca="1" si="26"/>
        <v>0.3995000000000003</v>
      </c>
      <c r="M406">
        <f t="shared" ca="1" si="25"/>
        <v>119850.00000000009</v>
      </c>
      <c r="N406" s="4" t="e">
        <f ca="1"/>
        <v>#VALUE!</v>
      </c>
      <c r="O406" s="4">
        <f ca="1"/>
        <v>0</v>
      </c>
      <c r="P406" s="13">
        <f ca="1"/>
        <v>0</v>
      </c>
    </row>
    <row r="407" spans="12:16">
      <c r="L407" s="5">
        <f t="shared" ca="1" si="26"/>
        <v>0.4005000000000003</v>
      </c>
      <c r="M407">
        <f t="shared" ca="1" si="25"/>
        <v>120150.00000000009</v>
      </c>
      <c r="N407" s="4" t="e">
        <f ca="1"/>
        <v>#VALUE!</v>
      </c>
      <c r="O407" s="4">
        <f ca="1"/>
        <v>0</v>
      </c>
      <c r="P407" s="13">
        <f ca="1"/>
        <v>0</v>
      </c>
    </row>
    <row r="408" spans="12:16">
      <c r="L408" s="5">
        <f t="shared" ca="1" si="26"/>
        <v>0.4015000000000003</v>
      </c>
      <c r="M408">
        <f t="shared" ca="1" si="25"/>
        <v>120450.00000000009</v>
      </c>
      <c r="N408" s="4" t="e">
        <f ca="1"/>
        <v>#VALUE!</v>
      </c>
      <c r="O408" s="4">
        <f ca="1"/>
        <v>0</v>
      </c>
      <c r="P408" s="13">
        <f ca="1"/>
        <v>0</v>
      </c>
    </row>
    <row r="409" spans="12:16">
      <c r="L409" s="5">
        <f t="shared" ca="1" si="26"/>
        <v>0.4025000000000003</v>
      </c>
      <c r="M409">
        <f t="shared" ca="1" si="25"/>
        <v>120750.00000000009</v>
      </c>
      <c r="N409" s="4" t="e">
        <f ca="1"/>
        <v>#VALUE!</v>
      </c>
      <c r="O409" s="4">
        <f ca="1"/>
        <v>0</v>
      </c>
      <c r="P409" s="13">
        <f ca="1"/>
        <v>0</v>
      </c>
    </row>
    <row r="410" spans="12:16">
      <c r="L410" s="5">
        <f t="shared" ca="1" si="26"/>
        <v>0.4035000000000003</v>
      </c>
      <c r="M410">
        <f t="shared" ca="1" si="25"/>
        <v>121050.00000000009</v>
      </c>
      <c r="N410" s="4" t="e">
        <f ca="1"/>
        <v>#VALUE!</v>
      </c>
      <c r="O410" s="4">
        <f ca="1"/>
        <v>0</v>
      </c>
      <c r="P410" s="13">
        <f ca="1"/>
        <v>0</v>
      </c>
    </row>
    <row r="411" spans="12:16">
      <c r="L411" s="5">
        <f t="shared" ca="1" si="26"/>
        <v>0.4045000000000003</v>
      </c>
      <c r="M411">
        <f t="shared" ca="1" si="25"/>
        <v>121350.00000000009</v>
      </c>
      <c r="N411" s="4" t="e">
        <f ca="1"/>
        <v>#VALUE!</v>
      </c>
      <c r="O411" s="4">
        <f ca="1"/>
        <v>0</v>
      </c>
      <c r="P411" s="13">
        <f ca="1"/>
        <v>0</v>
      </c>
    </row>
    <row r="412" spans="12:16">
      <c r="L412" s="5">
        <f t="shared" ca="1" si="26"/>
        <v>0.4055000000000003</v>
      </c>
      <c r="M412">
        <f t="shared" ca="1" si="25"/>
        <v>121650.00000000009</v>
      </c>
      <c r="N412" s="4" t="e">
        <f ca="1"/>
        <v>#VALUE!</v>
      </c>
      <c r="O412" s="4">
        <f ca="1"/>
        <v>0</v>
      </c>
      <c r="P412" s="13">
        <f ca="1"/>
        <v>0</v>
      </c>
    </row>
    <row r="413" spans="12:16">
      <c r="L413" s="5">
        <f t="shared" ca="1" si="26"/>
        <v>0.40650000000000031</v>
      </c>
      <c r="M413">
        <f t="shared" ca="1" si="25"/>
        <v>121950.00000000009</v>
      </c>
      <c r="N413" s="4" t="e">
        <f ca="1"/>
        <v>#VALUE!</v>
      </c>
      <c r="O413" s="4">
        <f ca="1"/>
        <v>0</v>
      </c>
      <c r="P413" s="13">
        <f ca="1"/>
        <v>0</v>
      </c>
    </row>
    <row r="414" spans="12:16">
      <c r="L414" s="5">
        <f t="shared" ca="1" si="26"/>
        <v>0.40750000000000031</v>
      </c>
      <c r="M414">
        <f t="shared" ca="1" si="25"/>
        <v>122250.00000000009</v>
      </c>
      <c r="N414" s="4" t="e">
        <f ca="1"/>
        <v>#VALUE!</v>
      </c>
      <c r="O414" s="4">
        <f ca="1"/>
        <v>0</v>
      </c>
      <c r="P414" s="13">
        <f ca="1"/>
        <v>0</v>
      </c>
    </row>
    <row r="415" spans="12:16">
      <c r="L415" s="5">
        <f t="shared" ca="1" si="26"/>
        <v>0.40850000000000031</v>
      </c>
      <c r="M415">
        <f t="shared" ca="1" si="25"/>
        <v>122550.00000000009</v>
      </c>
      <c r="N415" s="4" t="e">
        <f ca="1"/>
        <v>#VALUE!</v>
      </c>
      <c r="O415" s="4">
        <f ca="1"/>
        <v>0</v>
      </c>
      <c r="P415" s="13">
        <f ca="1"/>
        <v>0</v>
      </c>
    </row>
    <row r="416" spans="12:16">
      <c r="L416" s="5">
        <f t="shared" ca="1" si="26"/>
        <v>0.40950000000000031</v>
      </c>
      <c r="M416">
        <f t="shared" ca="1" si="25"/>
        <v>122850.00000000009</v>
      </c>
      <c r="N416" s="4" t="e">
        <f ca="1"/>
        <v>#VALUE!</v>
      </c>
      <c r="O416" s="4">
        <f ca="1"/>
        <v>0</v>
      </c>
      <c r="P416" s="13">
        <f ca="1"/>
        <v>0</v>
      </c>
    </row>
    <row r="417" spans="12:16">
      <c r="L417" s="5">
        <f t="shared" ca="1" si="26"/>
        <v>0.41050000000000031</v>
      </c>
      <c r="M417">
        <f t="shared" ca="1" si="25"/>
        <v>123150.00000000009</v>
      </c>
      <c r="N417" s="4" t="e">
        <f ca="1"/>
        <v>#VALUE!</v>
      </c>
      <c r="O417" s="4">
        <f ca="1"/>
        <v>0</v>
      </c>
      <c r="P417" s="13">
        <f ca="1"/>
        <v>0</v>
      </c>
    </row>
    <row r="418" spans="12:16">
      <c r="L418" s="5">
        <f t="shared" ca="1" si="26"/>
        <v>0.41150000000000031</v>
      </c>
      <c r="M418">
        <f t="shared" ca="1" si="25"/>
        <v>123450.00000000009</v>
      </c>
      <c r="N418" s="4" t="e">
        <f ca="1"/>
        <v>#VALUE!</v>
      </c>
      <c r="O418" s="4">
        <f ca="1"/>
        <v>0</v>
      </c>
      <c r="P418" s="13">
        <f ca="1"/>
        <v>0</v>
      </c>
    </row>
    <row r="419" spans="12:16">
      <c r="L419" s="5">
        <f t="shared" ca="1" si="26"/>
        <v>0.41250000000000031</v>
      </c>
      <c r="M419">
        <f t="shared" ca="1" si="25"/>
        <v>123750.00000000009</v>
      </c>
      <c r="N419" s="4" t="e">
        <f ca="1"/>
        <v>#VALUE!</v>
      </c>
      <c r="O419" s="4">
        <f ca="1"/>
        <v>0</v>
      </c>
      <c r="P419" s="13">
        <f ca="1"/>
        <v>0</v>
      </c>
    </row>
    <row r="420" spans="12:16">
      <c r="L420" s="5">
        <f t="shared" ca="1" si="26"/>
        <v>0.41350000000000031</v>
      </c>
      <c r="M420">
        <f t="shared" ca="1" si="25"/>
        <v>124050.00000000009</v>
      </c>
      <c r="N420" s="4" t="e">
        <f ca="1"/>
        <v>#VALUE!</v>
      </c>
      <c r="O420" s="4">
        <f ca="1"/>
        <v>0</v>
      </c>
      <c r="P420" s="13">
        <f ca="1"/>
        <v>0</v>
      </c>
    </row>
    <row r="421" spans="12:16">
      <c r="L421" s="5">
        <f t="shared" ca="1" si="26"/>
        <v>0.41450000000000031</v>
      </c>
      <c r="M421">
        <f t="shared" ca="1" si="25"/>
        <v>124350.00000000009</v>
      </c>
      <c r="N421" s="4" t="e">
        <f ca="1"/>
        <v>#VALUE!</v>
      </c>
      <c r="O421" s="4">
        <f ca="1"/>
        <v>0</v>
      </c>
      <c r="P421" s="13">
        <f ca="1"/>
        <v>0</v>
      </c>
    </row>
    <row r="422" spans="12:16">
      <c r="L422" s="5">
        <f t="shared" ca="1" si="26"/>
        <v>0.41550000000000031</v>
      </c>
      <c r="M422">
        <f t="shared" ca="1" si="25"/>
        <v>124650.00000000009</v>
      </c>
      <c r="N422" s="4" t="e">
        <f ca="1"/>
        <v>#VALUE!</v>
      </c>
      <c r="O422" s="4">
        <f ca="1"/>
        <v>0</v>
      </c>
      <c r="P422" s="13">
        <f ca="1"/>
        <v>0</v>
      </c>
    </row>
    <row r="423" spans="12:16">
      <c r="L423" s="5">
        <f t="shared" ca="1" si="26"/>
        <v>0.41650000000000031</v>
      </c>
      <c r="M423">
        <f t="shared" ca="1" si="25"/>
        <v>124950.00000000009</v>
      </c>
      <c r="N423" s="4" t="e">
        <f ca="1"/>
        <v>#VALUE!</v>
      </c>
      <c r="O423" s="4">
        <f ca="1"/>
        <v>0</v>
      </c>
      <c r="P423" s="13">
        <f ca="1"/>
        <v>0</v>
      </c>
    </row>
    <row r="424" spans="12:16">
      <c r="L424" s="5">
        <f t="shared" ca="1" si="26"/>
        <v>0.41750000000000032</v>
      </c>
      <c r="M424">
        <f t="shared" ca="1" si="25"/>
        <v>125250.00000000009</v>
      </c>
      <c r="N424" s="4" t="e">
        <f ca="1"/>
        <v>#VALUE!</v>
      </c>
      <c r="O424" s="4">
        <f ca="1"/>
        <v>0</v>
      </c>
      <c r="P424" s="13">
        <f ca="1"/>
        <v>0</v>
      </c>
    </row>
    <row r="425" spans="12:16">
      <c r="L425" s="5">
        <f t="shared" ca="1" si="26"/>
        <v>0.41850000000000032</v>
      </c>
      <c r="M425">
        <f t="shared" ca="1" si="25"/>
        <v>125550.0000000001</v>
      </c>
      <c r="N425" s="4" t="e">
        <f ca="1"/>
        <v>#VALUE!</v>
      </c>
      <c r="O425" s="4">
        <f ca="1"/>
        <v>0</v>
      </c>
      <c r="P425" s="13">
        <f ca="1"/>
        <v>0</v>
      </c>
    </row>
    <row r="426" spans="12:16">
      <c r="L426" s="5">
        <f t="shared" ca="1" si="26"/>
        <v>0.41950000000000032</v>
      </c>
      <c r="M426">
        <f t="shared" ca="1" si="25"/>
        <v>125850.0000000001</v>
      </c>
      <c r="N426" s="4" t="e">
        <f ca="1"/>
        <v>#VALUE!</v>
      </c>
      <c r="O426" s="4">
        <f ca="1"/>
        <v>0</v>
      </c>
      <c r="P426" s="13">
        <f ca="1"/>
        <v>0</v>
      </c>
    </row>
    <row r="427" spans="12:16">
      <c r="L427" s="5">
        <f t="shared" ca="1" si="26"/>
        <v>0.42050000000000032</v>
      </c>
      <c r="M427">
        <f t="shared" ca="1" si="25"/>
        <v>126150.0000000001</v>
      </c>
      <c r="N427" s="4" t="e">
        <f ca="1"/>
        <v>#VALUE!</v>
      </c>
      <c r="O427" s="4">
        <f ca="1"/>
        <v>0</v>
      </c>
      <c r="P427" s="13">
        <f ca="1"/>
        <v>0</v>
      </c>
    </row>
    <row r="428" spans="12:16">
      <c r="L428" s="5">
        <f t="shared" ca="1" si="26"/>
        <v>0.42150000000000032</v>
      </c>
      <c r="M428">
        <f t="shared" ca="1" si="25"/>
        <v>126450.0000000001</v>
      </c>
      <c r="N428" s="4" t="e">
        <f ca="1"/>
        <v>#VALUE!</v>
      </c>
      <c r="O428" s="4">
        <f ca="1"/>
        <v>0</v>
      </c>
      <c r="P428" s="13">
        <f ca="1"/>
        <v>0</v>
      </c>
    </row>
    <row r="429" spans="12:16">
      <c r="L429" s="5">
        <f t="shared" ca="1" si="26"/>
        <v>0.42250000000000032</v>
      </c>
      <c r="M429">
        <f t="shared" ca="1" si="25"/>
        <v>126750.0000000001</v>
      </c>
      <c r="N429" s="4" t="e">
        <f ca="1"/>
        <v>#VALUE!</v>
      </c>
      <c r="O429" s="4">
        <f ca="1"/>
        <v>0</v>
      </c>
      <c r="P429" s="13">
        <f ca="1"/>
        <v>0</v>
      </c>
    </row>
    <row r="430" spans="12:16">
      <c r="L430" s="5">
        <f t="shared" ca="1" si="26"/>
        <v>0.42350000000000032</v>
      </c>
      <c r="M430">
        <f t="shared" ca="1" si="25"/>
        <v>127050.0000000001</v>
      </c>
      <c r="N430" s="4" t="e">
        <f ca="1"/>
        <v>#VALUE!</v>
      </c>
      <c r="O430" s="4">
        <f ca="1"/>
        <v>0</v>
      </c>
      <c r="P430" s="13">
        <f ca="1"/>
        <v>0</v>
      </c>
    </row>
    <row r="431" spans="12:16">
      <c r="L431" s="5">
        <f t="shared" ca="1" si="26"/>
        <v>0.42450000000000032</v>
      </c>
      <c r="M431">
        <f t="shared" ca="1" si="25"/>
        <v>127350.0000000001</v>
      </c>
      <c r="N431" s="4" t="e">
        <f ca="1"/>
        <v>#VALUE!</v>
      </c>
      <c r="O431" s="4">
        <f ca="1"/>
        <v>0</v>
      </c>
      <c r="P431" s="13">
        <f ca="1"/>
        <v>0</v>
      </c>
    </row>
    <row r="432" spans="12:16">
      <c r="L432" s="5">
        <f t="shared" ca="1" si="26"/>
        <v>0.42550000000000032</v>
      </c>
      <c r="M432">
        <f t="shared" ca="1" si="25"/>
        <v>127650.0000000001</v>
      </c>
      <c r="N432" s="4" t="e">
        <f ca="1"/>
        <v>#VALUE!</v>
      </c>
      <c r="O432" s="4">
        <f ca="1"/>
        <v>0</v>
      </c>
      <c r="P432" s="13">
        <f ca="1"/>
        <v>0</v>
      </c>
    </row>
    <row r="433" spans="12:16">
      <c r="L433" s="5">
        <f t="shared" ca="1" si="26"/>
        <v>0.42650000000000032</v>
      </c>
      <c r="M433">
        <f t="shared" ca="1" si="25"/>
        <v>127950.0000000001</v>
      </c>
      <c r="N433" s="4" t="e">
        <f ca="1"/>
        <v>#VALUE!</v>
      </c>
      <c r="O433" s="4">
        <f ca="1"/>
        <v>0</v>
      </c>
      <c r="P433" s="13">
        <f ca="1"/>
        <v>0</v>
      </c>
    </row>
    <row r="434" spans="12:16">
      <c r="L434" s="5">
        <f t="shared" ca="1" si="26"/>
        <v>0.42750000000000032</v>
      </c>
      <c r="M434">
        <f t="shared" ca="1" si="25"/>
        <v>128250.0000000001</v>
      </c>
      <c r="N434" s="4" t="e">
        <f ca="1"/>
        <v>#VALUE!</v>
      </c>
      <c r="O434" s="4">
        <f ca="1"/>
        <v>0</v>
      </c>
      <c r="P434" s="13">
        <f ca="1"/>
        <v>0</v>
      </c>
    </row>
    <row r="435" spans="12:16">
      <c r="L435" s="5">
        <f t="shared" ca="1" si="26"/>
        <v>0.42850000000000033</v>
      </c>
      <c r="M435">
        <f t="shared" ca="1" si="25"/>
        <v>128550.0000000001</v>
      </c>
      <c r="N435" s="4" t="e">
        <f ca="1"/>
        <v>#VALUE!</v>
      </c>
      <c r="O435" s="4">
        <f ca="1"/>
        <v>0</v>
      </c>
      <c r="P435" s="13">
        <f ca="1"/>
        <v>0</v>
      </c>
    </row>
    <row r="436" spans="12:16">
      <c r="L436" s="5">
        <f t="shared" ca="1" si="26"/>
        <v>0.42950000000000033</v>
      </c>
      <c r="M436">
        <f t="shared" ca="1" si="25"/>
        <v>128850.0000000001</v>
      </c>
      <c r="N436" s="4" t="e">
        <f ca="1"/>
        <v>#VALUE!</v>
      </c>
      <c r="O436" s="4">
        <f ca="1"/>
        <v>0</v>
      </c>
      <c r="P436" s="13">
        <f ca="1"/>
        <v>0</v>
      </c>
    </row>
    <row r="437" spans="12:16">
      <c r="L437" s="5">
        <f t="shared" ca="1" si="26"/>
        <v>0.43050000000000033</v>
      </c>
      <c r="M437">
        <f t="shared" ca="1" si="25"/>
        <v>129150.0000000001</v>
      </c>
      <c r="N437" s="4" t="e">
        <f ca="1"/>
        <v>#VALUE!</v>
      </c>
      <c r="O437" s="4">
        <f ca="1"/>
        <v>0</v>
      </c>
      <c r="P437" s="13">
        <f ca="1"/>
        <v>0</v>
      </c>
    </row>
    <row r="438" spans="12:16">
      <c r="L438" s="5">
        <f t="shared" ca="1" si="26"/>
        <v>0.43150000000000033</v>
      </c>
      <c r="M438">
        <f t="shared" ca="1" si="25"/>
        <v>129450.0000000001</v>
      </c>
      <c r="N438" s="4" t="e">
        <f ca="1"/>
        <v>#VALUE!</v>
      </c>
      <c r="O438" s="4">
        <f ca="1"/>
        <v>0</v>
      </c>
      <c r="P438" s="13">
        <f ca="1"/>
        <v>0</v>
      </c>
    </row>
    <row r="439" spans="12:16">
      <c r="L439" s="5">
        <f t="shared" ca="1" si="26"/>
        <v>0.43250000000000033</v>
      </c>
      <c r="M439">
        <f t="shared" ca="1" si="25"/>
        <v>129750.0000000001</v>
      </c>
      <c r="N439" s="4" t="e">
        <f ca="1"/>
        <v>#VALUE!</v>
      </c>
      <c r="O439" s="4">
        <f ca="1"/>
        <v>0</v>
      </c>
      <c r="P439" s="13">
        <f ca="1"/>
        <v>0</v>
      </c>
    </row>
    <row r="440" spans="12:16">
      <c r="L440" s="5">
        <f t="shared" ca="1" si="26"/>
        <v>0.43350000000000033</v>
      </c>
      <c r="M440">
        <f t="shared" ca="1" si="25"/>
        <v>130050.0000000001</v>
      </c>
      <c r="N440" s="4" t="e">
        <f ca="1"/>
        <v>#VALUE!</v>
      </c>
      <c r="O440" s="4">
        <f ca="1"/>
        <v>0</v>
      </c>
      <c r="P440" s="13">
        <f ca="1"/>
        <v>0</v>
      </c>
    </row>
    <row r="441" spans="12:16">
      <c r="L441" s="5">
        <f t="shared" ca="1" si="26"/>
        <v>0.43450000000000033</v>
      </c>
      <c r="M441">
        <f t="shared" ca="1" si="25"/>
        <v>130350.0000000001</v>
      </c>
      <c r="N441" s="4" t="e">
        <f ca="1"/>
        <v>#VALUE!</v>
      </c>
      <c r="O441" s="4">
        <f ca="1"/>
        <v>0</v>
      </c>
      <c r="P441" s="13">
        <f ca="1"/>
        <v>0</v>
      </c>
    </row>
    <row r="442" spans="12:16">
      <c r="L442" s="5">
        <f t="shared" ca="1" si="26"/>
        <v>0.43550000000000033</v>
      </c>
      <c r="M442">
        <f t="shared" ca="1" si="25"/>
        <v>130650.0000000001</v>
      </c>
      <c r="N442" s="4" t="e">
        <f ca="1"/>
        <v>#VALUE!</v>
      </c>
      <c r="O442" s="4">
        <f ca="1"/>
        <v>0</v>
      </c>
      <c r="P442" s="13">
        <f ca="1"/>
        <v>0</v>
      </c>
    </row>
    <row r="443" spans="12:16">
      <c r="L443" s="5">
        <f t="shared" ca="1" si="26"/>
        <v>0.43650000000000033</v>
      </c>
      <c r="M443">
        <f t="shared" ca="1" si="25"/>
        <v>130950.0000000001</v>
      </c>
      <c r="N443" s="4" t="e">
        <f ca="1"/>
        <v>#VALUE!</v>
      </c>
      <c r="O443" s="4">
        <f ca="1"/>
        <v>0</v>
      </c>
      <c r="P443" s="13">
        <f ca="1"/>
        <v>0</v>
      </c>
    </row>
    <row r="444" spans="12:16">
      <c r="L444" s="5">
        <f t="shared" ca="1" si="26"/>
        <v>0.43750000000000033</v>
      </c>
      <c r="M444">
        <f t="shared" ca="1" si="25"/>
        <v>131250.00000000009</v>
      </c>
      <c r="N444" s="4" t="e">
        <f ca="1"/>
        <v>#VALUE!</v>
      </c>
      <c r="O444" s="4">
        <f ca="1"/>
        <v>0</v>
      </c>
      <c r="P444" s="13">
        <f ca="1"/>
        <v>0</v>
      </c>
    </row>
    <row r="445" spans="12:16">
      <c r="L445" s="5">
        <f t="shared" ca="1" si="26"/>
        <v>0.43850000000000033</v>
      </c>
      <c r="M445">
        <f t="shared" ca="1" si="25"/>
        <v>131550.00000000009</v>
      </c>
      <c r="N445" s="4" t="e">
        <f ca="1"/>
        <v>#VALUE!</v>
      </c>
      <c r="O445" s="4">
        <f ca="1"/>
        <v>0</v>
      </c>
      <c r="P445" s="13">
        <f ca="1"/>
        <v>0</v>
      </c>
    </row>
    <row r="446" spans="12:16">
      <c r="L446" s="5">
        <f t="shared" ca="1" si="26"/>
        <v>0.43950000000000033</v>
      </c>
      <c r="M446">
        <f t="shared" ca="1" si="25"/>
        <v>131850.00000000009</v>
      </c>
      <c r="N446" s="4" t="e">
        <f ca="1"/>
        <v>#VALUE!</v>
      </c>
      <c r="O446" s="4">
        <f ca="1"/>
        <v>0</v>
      </c>
      <c r="P446" s="13">
        <f ca="1"/>
        <v>0</v>
      </c>
    </row>
    <row r="447" spans="12:16">
      <c r="L447" s="5">
        <f t="shared" ca="1" si="26"/>
        <v>0.44050000000000034</v>
      </c>
      <c r="M447">
        <f t="shared" ca="1" si="25"/>
        <v>132150.00000000009</v>
      </c>
      <c r="N447" s="4" t="e">
        <f ca="1"/>
        <v>#VALUE!</v>
      </c>
      <c r="O447" s="4">
        <f ca="1"/>
        <v>0</v>
      </c>
      <c r="P447" s="13">
        <f ca="1"/>
        <v>0</v>
      </c>
    </row>
    <row r="448" spans="12:16">
      <c r="L448" s="5">
        <f t="shared" ca="1" si="26"/>
        <v>0.44150000000000034</v>
      </c>
      <c r="M448">
        <f t="shared" ca="1" si="25"/>
        <v>132450.00000000009</v>
      </c>
      <c r="N448" s="4" t="e">
        <f ca="1"/>
        <v>#VALUE!</v>
      </c>
      <c r="O448" s="4">
        <f ca="1"/>
        <v>0</v>
      </c>
      <c r="P448" s="13">
        <f ca="1"/>
        <v>0</v>
      </c>
    </row>
    <row r="449" spans="12:16">
      <c r="L449" s="5">
        <f t="shared" ca="1" si="26"/>
        <v>0.44250000000000034</v>
      </c>
      <c r="M449">
        <f t="shared" ca="1" si="25"/>
        <v>132750.00000000009</v>
      </c>
      <c r="N449" s="4" t="e">
        <f ca="1"/>
        <v>#VALUE!</v>
      </c>
      <c r="O449" s="4">
        <f ca="1"/>
        <v>0</v>
      </c>
      <c r="P449" s="13">
        <f ca="1"/>
        <v>0</v>
      </c>
    </row>
    <row r="450" spans="12:16">
      <c r="L450" s="5">
        <f t="shared" ca="1" si="26"/>
        <v>0.44350000000000034</v>
      </c>
      <c r="M450">
        <f t="shared" ca="1" si="25"/>
        <v>133050.00000000009</v>
      </c>
      <c r="N450" s="4" t="e">
        <f ca="1"/>
        <v>#VALUE!</v>
      </c>
      <c r="O450" s="4">
        <f ca="1"/>
        <v>0</v>
      </c>
      <c r="P450" s="13">
        <f ca="1"/>
        <v>0</v>
      </c>
    </row>
    <row r="451" spans="12:16">
      <c r="L451" s="5">
        <f t="shared" ca="1" si="26"/>
        <v>0.44450000000000034</v>
      </c>
      <c r="M451">
        <f t="shared" ca="1" si="25"/>
        <v>133350.00000000009</v>
      </c>
      <c r="N451" s="4" t="e">
        <f ca="1"/>
        <v>#VALUE!</v>
      </c>
      <c r="O451" s="4">
        <f ca="1"/>
        <v>0</v>
      </c>
      <c r="P451" s="13">
        <f ca="1"/>
        <v>0</v>
      </c>
    </row>
    <row r="452" spans="12:16">
      <c r="L452" s="5">
        <f t="shared" ca="1" si="26"/>
        <v>0.44550000000000034</v>
      </c>
      <c r="M452">
        <f t="shared" ca="1" si="25"/>
        <v>133650.00000000012</v>
      </c>
      <c r="N452" s="4" t="e">
        <f ca="1"/>
        <v>#VALUE!</v>
      </c>
      <c r="O452" s="4">
        <f ca="1"/>
        <v>0</v>
      </c>
      <c r="P452" s="13">
        <f ca="1"/>
        <v>0</v>
      </c>
    </row>
    <row r="453" spans="12:16">
      <c r="L453" s="5">
        <f t="shared" ca="1" si="26"/>
        <v>0.44650000000000034</v>
      </c>
      <c r="M453">
        <f t="shared" ca="1" si="25"/>
        <v>133950.00000000012</v>
      </c>
      <c r="N453" s="4" t="e">
        <f ca="1"/>
        <v>#VALUE!</v>
      </c>
      <c r="O453" s="4">
        <f ca="1"/>
        <v>0</v>
      </c>
      <c r="P453" s="13">
        <f ca="1"/>
        <v>0</v>
      </c>
    </row>
    <row r="454" spans="12:16">
      <c r="L454" s="5">
        <f t="shared" ca="1" si="26"/>
        <v>0.44750000000000034</v>
      </c>
      <c r="M454">
        <f t="shared" ref="M454:M517" ca="1" si="27">L454*$K$10</f>
        <v>134250.00000000012</v>
      </c>
      <c r="N454" s="4" t="e">
        <f ca="1"/>
        <v>#VALUE!</v>
      </c>
      <c r="O454" s="4">
        <f ca="1"/>
        <v>0</v>
      </c>
      <c r="P454" s="13">
        <f ca="1"/>
        <v>0</v>
      </c>
    </row>
    <row r="455" spans="12:16">
      <c r="L455" s="5">
        <f t="shared" ca="1" si="26"/>
        <v>0.44850000000000034</v>
      </c>
      <c r="M455">
        <f t="shared" ca="1" si="27"/>
        <v>134550.00000000012</v>
      </c>
      <c r="N455" s="4" t="e">
        <f ca="1"/>
        <v>#VALUE!</v>
      </c>
      <c r="O455" s="4">
        <f ca="1"/>
        <v>0</v>
      </c>
      <c r="P455" s="13">
        <f ca="1"/>
        <v>0</v>
      </c>
    </row>
    <row r="456" spans="12:16">
      <c r="L456" s="5">
        <f t="shared" ref="L456:L506" ca="1" si="28">L455+1/$K$7</f>
        <v>0.44950000000000034</v>
      </c>
      <c r="M456">
        <f t="shared" ca="1" si="27"/>
        <v>134850.00000000012</v>
      </c>
      <c r="N456" s="4" t="e">
        <f ca="1"/>
        <v>#VALUE!</v>
      </c>
      <c r="O456" s="4">
        <f ca="1"/>
        <v>0</v>
      </c>
      <c r="P456" s="13">
        <f ca="1"/>
        <v>0</v>
      </c>
    </row>
    <row r="457" spans="12:16">
      <c r="L457" s="5">
        <f t="shared" ca="1" si="28"/>
        <v>0.45050000000000034</v>
      </c>
      <c r="M457">
        <f t="shared" ca="1" si="27"/>
        <v>135150.00000000012</v>
      </c>
      <c r="N457" s="4" t="e">
        <f ca="1"/>
        <v>#VALUE!</v>
      </c>
      <c r="O457" s="4">
        <f ca="1"/>
        <v>0</v>
      </c>
      <c r="P457" s="13">
        <f ca="1"/>
        <v>0</v>
      </c>
    </row>
    <row r="458" spans="12:16">
      <c r="L458" s="5">
        <f t="shared" ca="1" si="28"/>
        <v>0.45150000000000035</v>
      </c>
      <c r="M458">
        <f t="shared" ca="1" si="27"/>
        <v>135450.00000000012</v>
      </c>
      <c r="N458" s="4" t="e">
        <f ca="1"/>
        <v>#VALUE!</v>
      </c>
      <c r="O458" s="4">
        <f ca="1"/>
        <v>0</v>
      </c>
      <c r="P458" s="13">
        <f ca="1"/>
        <v>0</v>
      </c>
    </row>
    <row r="459" spans="12:16">
      <c r="L459" s="5">
        <f t="shared" ca="1" si="28"/>
        <v>0.45250000000000035</v>
      </c>
      <c r="M459">
        <f t="shared" ca="1" si="27"/>
        <v>135750.00000000012</v>
      </c>
      <c r="N459" s="4" t="e">
        <f ca="1"/>
        <v>#VALUE!</v>
      </c>
      <c r="O459" s="4">
        <f ca="1"/>
        <v>0</v>
      </c>
      <c r="P459" s="13">
        <f ca="1"/>
        <v>0</v>
      </c>
    </row>
    <row r="460" spans="12:16">
      <c r="L460" s="5">
        <f t="shared" ca="1" si="28"/>
        <v>0.45350000000000035</v>
      </c>
      <c r="M460">
        <f t="shared" ca="1" si="27"/>
        <v>136050.00000000012</v>
      </c>
      <c r="N460" s="4" t="e">
        <f ca="1"/>
        <v>#VALUE!</v>
      </c>
      <c r="O460" s="4">
        <f ca="1"/>
        <v>0</v>
      </c>
      <c r="P460" s="13">
        <f ca="1"/>
        <v>0</v>
      </c>
    </row>
    <row r="461" spans="12:16">
      <c r="L461" s="5">
        <f t="shared" ca="1" si="28"/>
        <v>0.45450000000000035</v>
      </c>
      <c r="M461">
        <f t="shared" ca="1" si="27"/>
        <v>136350.00000000012</v>
      </c>
      <c r="N461" s="4" t="e">
        <f ca="1"/>
        <v>#VALUE!</v>
      </c>
      <c r="O461" s="4">
        <f ca="1"/>
        <v>0</v>
      </c>
      <c r="P461" s="13">
        <f ca="1"/>
        <v>0</v>
      </c>
    </row>
    <row r="462" spans="12:16">
      <c r="L462" s="5">
        <f t="shared" ca="1" si="28"/>
        <v>0.45550000000000035</v>
      </c>
      <c r="M462">
        <f t="shared" ca="1" si="27"/>
        <v>136650.00000000012</v>
      </c>
      <c r="N462" s="4" t="e">
        <f ca="1"/>
        <v>#VALUE!</v>
      </c>
      <c r="O462" s="4">
        <f ca="1"/>
        <v>0</v>
      </c>
      <c r="P462" s="13">
        <f ca="1"/>
        <v>0</v>
      </c>
    </row>
    <row r="463" spans="12:16">
      <c r="L463" s="5">
        <f t="shared" ca="1" si="28"/>
        <v>0.45650000000000035</v>
      </c>
      <c r="M463">
        <f t="shared" ca="1" si="27"/>
        <v>136950.00000000012</v>
      </c>
      <c r="N463" s="4" t="e">
        <f ca="1"/>
        <v>#VALUE!</v>
      </c>
      <c r="O463" s="4">
        <f ca="1"/>
        <v>0</v>
      </c>
      <c r="P463" s="13">
        <f ca="1"/>
        <v>0</v>
      </c>
    </row>
    <row r="464" spans="12:16">
      <c r="L464" s="5">
        <f t="shared" ca="1" si="28"/>
        <v>0.45750000000000035</v>
      </c>
      <c r="M464">
        <f t="shared" ca="1" si="27"/>
        <v>137250.00000000012</v>
      </c>
      <c r="N464" s="4" t="e">
        <f ca="1"/>
        <v>#VALUE!</v>
      </c>
      <c r="O464" s="4">
        <f ca="1"/>
        <v>0</v>
      </c>
      <c r="P464" s="13">
        <f ca="1"/>
        <v>0</v>
      </c>
    </row>
    <row r="465" spans="12:16">
      <c r="L465" s="5">
        <f t="shared" ca="1" si="28"/>
        <v>0.45850000000000035</v>
      </c>
      <c r="M465">
        <f t="shared" ca="1" si="27"/>
        <v>137550.00000000012</v>
      </c>
      <c r="N465" s="4" t="e">
        <f ca="1"/>
        <v>#VALUE!</v>
      </c>
      <c r="O465" s="4">
        <f ca="1"/>
        <v>0</v>
      </c>
      <c r="P465" s="13">
        <f ca="1"/>
        <v>0</v>
      </c>
    </row>
    <row r="466" spans="12:16">
      <c r="L466" s="5">
        <f t="shared" ca="1" si="28"/>
        <v>0.45950000000000035</v>
      </c>
      <c r="M466">
        <f t="shared" ca="1" si="27"/>
        <v>137850.00000000012</v>
      </c>
      <c r="N466" s="4" t="e">
        <f ca="1"/>
        <v>#VALUE!</v>
      </c>
      <c r="O466" s="4">
        <f ca="1"/>
        <v>0</v>
      </c>
      <c r="P466" s="13">
        <f ca="1"/>
        <v>0</v>
      </c>
    </row>
    <row r="467" spans="12:16">
      <c r="L467" s="5">
        <f t="shared" ca="1" si="28"/>
        <v>0.46050000000000035</v>
      </c>
      <c r="M467">
        <f t="shared" ca="1" si="27"/>
        <v>138150.00000000012</v>
      </c>
      <c r="N467" s="4" t="e">
        <f ca="1"/>
        <v>#VALUE!</v>
      </c>
      <c r="O467" s="4">
        <f ca="1"/>
        <v>0</v>
      </c>
      <c r="P467" s="13">
        <f ca="1"/>
        <v>0</v>
      </c>
    </row>
    <row r="468" spans="12:16">
      <c r="L468" s="5">
        <f t="shared" ca="1" si="28"/>
        <v>0.46150000000000035</v>
      </c>
      <c r="M468">
        <f t="shared" ca="1" si="27"/>
        <v>138450.00000000012</v>
      </c>
      <c r="N468" s="4" t="e">
        <f ca="1"/>
        <v>#VALUE!</v>
      </c>
      <c r="O468" s="4">
        <f ca="1"/>
        <v>0</v>
      </c>
      <c r="P468" s="13">
        <f ca="1"/>
        <v>0</v>
      </c>
    </row>
    <row r="469" spans="12:16">
      <c r="L469" s="5">
        <f t="shared" ca="1" si="28"/>
        <v>0.46250000000000036</v>
      </c>
      <c r="M469">
        <f t="shared" ca="1" si="27"/>
        <v>138750.00000000012</v>
      </c>
      <c r="N469" s="4" t="e">
        <f ca="1"/>
        <v>#VALUE!</v>
      </c>
      <c r="O469" s="4">
        <f ca="1"/>
        <v>0</v>
      </c>
      <c r="P469" s="13">
        <f ca="1"/>
        <v>0</v>
      </c>
    </row>
    <row r="470" spans="12:16">
      <c r="L470" s="5">
        <f t="shared" ca="1" si="28"/>
        <v>0.46350000000000036</v>
      </c>
      <c r="M470">
        <f t="shared" ca="1" si="27"/>
        <v>139050.00000000012</v>
      </c>
      <c r="N470" s="4" t="e">
        <f ca="1"/>
        <v>#VALUE!</v>
      </c>
      <c r="O470" s="4">
        <f ca="1"/>
        <v>0</v>
      </c>
      <c r="P470" s="13">
        <f ca="1"/>
        <v>0</v>
      </c>
    </row>
    <row r="471" spans="12:16">
      <c r="L471" s="5">
        <f t="shared" ca="1" si="28"/>
        <v>0.46450000000000036</v>
      </c>
      <c r="M471">
        <f t="shared" ca="1" si="27"/>
        <v>139350.00000000012</v>
      </c>
      <c r="N471" s="4" t="e">
        <f ca="1"/>
        <v>#VALUE!</v>
      </c>
      <c r="O471" s="4">
        <f ca="1"/>
        <v>0</v>
      </c>
      <c r="P471" s="13">
        <f ca="1"/>
        <v>0</v>
      </c>
    </row>
    <row r="472" spans="12:16">
      <c r="L472" s="5">
        <f t="shared" ca="1" si="28"/>
        <v>0.46550000000000036</v>
      </c>
      <c r="M472">
        <f t="shared" ca="1" si="27"/>
        <v>139650.00000000012</v>
      </c>
      <c r="N472" s="4" t="e">
        <f ca="1"/>
        <v>#VALUE!</v>
      </c>
      <c r="O472" s="4">
        <f ca="1"/>
        <v>0</v>
      </c>
      <c r="P472" s="13">
        <f ca="1"/>
        <v>0</v>
      </c>
    </row>
    <row r="473" spans="12:16">
      <c r="L473" s="5">
        <f t="shared" ca="1" si="28"/>
        <v>0.46650000000000036</v>
      </c>
      <c r="M473">
        <f t="shared" ca="1" si="27"/>
        <v>139950.00000000012</v>
      </c>
      <c r="N473" s="4" t="e">
        <f ca="1"/>
        <v>#VALUE!</v>
      </c>
      <c r="O473" s="4">
        <f ca="1"/>
        <v>0</v>
      </c>
      <c r="P473" s="13">
        <f ca="1"/>
        <v>0</v>
      </c>
    </row>
    <row r="474" spans="12:16">
      <c r="L474" s="5">
        <f t="shared" ca="1" si="28"/>
        <v>0.46750000000000036</v>
      </c>
      <c r="M474">
        <f t="shared" ca="1" si="27"/>
        <v>140250.00000000012</v>
      </c>
      <c r="N474" s="4" t="e">
        <f ca="1"/>
        <v>#VALUE!</v>
      </c>
      <c r="O474" s="4">
        <f ca="1"/>
        <v>0</v>
      </c>
      <c r="P474" s="13">
        <f ca="1"/>
        <v>0</v>
      </c>
    </row>
    <row r="475" spans="12:16">
      <c r="L475" s="5">
        <f t="shared" ca="1" si="28"/>
        <v>0.46850000000000036</v>
      </c>
      <c r="M475">
        <f t="shared" ca="1" si="27"/>
        <v>140550.00000000012</v>
      </c>
      <c r="N475" s="4" t="e">
        <f ca="1"/>
        <v>#VALUE!</v>
      </c>
      <c r="O475" s="4">
        <f ca="1"/>
        <v>0</v>
      </c>
      <c r="P475" s="13">
        <f ca="1"/>
        <v>0</v>
      </c>
    </row>
    <row r="476" spans="12:16">
      <c r="L476" s="5">
        <f t="shared" ca="1" si="28"/>
        <v>0.46950000000000036</v>
      </c>
      <c r="M476">
        <f t="shared" ca="1" si="27"/>
        <v>140850.00000000012</v>
      </c>
      <c r="N476" s="4" t="e">
        <f ca="1"/>
        <v>#VALUE!</v>
      </c>
      <c r="O476" s="4">
        <f ca="1"/>
        <v>0</v>
      </c>
      <c r="P476" s="13">
        <f ca="1"/>
        <v>0</v>
      </c>
    </row>
    <row r="477" spans="12:16">
      <c r="L477" s="5">
        <f t="shared" ca="1" si="28"/>
        <v>0.47050000000000036</v>
      </c>
      <c r="M477">
        <f t="shared" ca="1" si="27"/>
        <v>141150.00000000012</v>
      </c>
      <c r="N477" s="4" t="e">
        <f ca="1"/>
        <v>#VALUE!</v>
      </c>
      <c r="O477" s="4">
        <f ca="1"/>
        <v>0</v>
      </c>
      <c r="P477" s="13">
        <f ca="1"/>
        <v>0</v>
      </c>
    </row>
    <row r="478" spans="12:16">
      <c r="L478" s="5">
        <f t="shared" ca="1" si="28"/>
        <v>0.47150000000000036</v>
      </c>
      <c r="M478">
        <f t="shared" ca="1" si="27"/>
        <v>141450.00000000012</v>
      </c>
      <c r="N478" s="4" t="e">
        <f ca="1"/>
        <v>#VALUE!</v>
      </c>
      <c r="O478" s="4">
        <f ca="1"/>
        <v>0</v>
      </c>
      <c r="P478" s="13">
        <f ca="1"/>
        <v>0</v>
      </c>
    </row>
    <row r="479" spans="12:16">
      <c r="L479" s="5">
        <f t="shared" ca="1" si="28"/>
        <v>0.47250000000000036</v>
      </c>
      <c r="M479">
        <f t="shared" ca="1" si="27"/>
        <v>141750.00000000012</v>
      </c>
      <c r="N479" s="4" t="e">
        <f ca="1"/>
        <v>#VALUE!</v>
      </c>
      <c r="O479" s="4">
        <f ca="1"/>
        <v>0</v>
      </c>
      <c r="P479" s="13">
        <f ca="1"/>
        <v>0</v>
      </c>
    </row>
    <row r="480" spans="12:16">
      <c r="L480" s="5">
        <f t="shared" ca="1" si="28"/>
        <v>0.47350000000000037</v>
      </c>
      <c r="M480">
        <f t="shared" ca="1" si="27"/>
        <v>142050.00000000012</v>
      </c>
      <c r="N480" s="4" t="e">
        <f ca="1"/>
        <v>#VALUE!</v>
      </c>
      <c r="O480" s="4">
        <f ca="1"/>
        <v>0</v>
      </c>
      <c r="P480" s="13">
        <f ca="1"/>
        <v>0</v>
      </c>
    </row>
    <row r="481" spans="12:16">
      <c r="L481" s="5">
        <f t="shared" ca="1" si="28"/>
        <v>0.47450000000000037</v>
      </c>
      <c r="M481">
        <f t="shared" ca="1" si="27"/>
        <v>142350.00000000012</v>
      </c>
      <c r="N481" s="4" t="e">
        <f ca="1"/>
        <v>#VALUE!</v>
      </c>
      <c r="O481" s="4">
        <f ca="1"/>
        <v>0</v>
      </c>
      <c r="P481" s="13">
        <f ca="1"/>
        <v>0</v>
      </c>
    </row>
    <row r="482" spans="12:16">
      <c r="L482" s="5">
        <f t="shared" ca="1" si="28"/>
        <v>0.47550000000000037</v>
      </c>
      <c r="M482">
        <f t="shared" ca="1" si="27"/>
        <v>142650.00000000012</v>
      </c>
      <c r="N482" s="4" t="e">
        <f ca="1"/>
        <v>#VALUE!</v>
      </c>
      <c r="O482" s="4">
        <f ca="1"/>
        <v>0</v>
      </c>
      <c r="P482" s="13">
        <f ca="1"/>
        <v>0</v>
      </c>
    </row>
    <row r="483" spans="12:16">
      <c r="L483" s="5">
        <f t="shared" ca="1" si="28"/>
        <v>0.47650000000000037</v>
      </c>
      <c r="M483">
        <f t="shared" ca="1" si="27"/>
        <v>142950.00000000012</v>
      </c>
      <c r="N483" s="4" t="e">
        <f ca="1"/>
        <v>#VALUE!</v>
      </c>
      <c r="O483" s="4">
        <f ca="1"/>
        <v>0</v>
      </c>
      <c r="P483" s="13">
        <f ca="1"/>
        <v>0</v>
      </c>
    </row>
    <row r="484" spans="12:16">
      <c r="L484" s="5">
        <f t="shared" ca="1" si="28"/>
        <v>0.47750000000000037</v>
      </c>
      <c r="M484">
        <f t="shared" ca="1" si="27"/>
        <v>143250.00000000012</v>
      </c>
      <c r="N484" s="4" t="e">
        <f ca="1"/>
        <v>#VALUE!</v>
      </c>
      <c r="O484" s="4">
        <f ca="1"/>
        <v>0</v>
      </c>
      <c r="P484" s="13">
        <f ca="1"/>
        <v>0</v>
      </c>
    </row>
    <row r="485" spans="12:16">
      <c r="L485" s="5">
        <f t="shared" ca="1" si="28"/>
        <v>0.47850000000000037</v>
      </c>
      <c r="M485">
        <f t="shared" ca="1" si="27"/>
        <v>143550.00000000012</v>
      </c>
      <c r="N485" s="4" t="e">
        <f ca="1"/>
        <v>#VALUE!</v>
      </c>
      <c r="O485" s="4">
        <f ca="1"/>
        <v>0</v>
      </c>
      <c r="P485" s="13">
        <f ca="1"/>
        <v>0</v>
      </c>
    </row>
    <row r="486" spans="12:16">
      <c r="L486" s="5">
        <f t="shared" ca="1" si="28"/>
        <v>0.47950000000000037</v>
      </c>
      <c r="M486">
        <f t="shared" ca="1" si="27"/>
        <v>143850.00000000012</v>
      </c>
      <c r="N486" s="4" t="e">
        <f ca="1"/>
        <v>#VALUE!</v>
      </c>
      <c r="O486" s="4">
        <f ca="1"/>
        <v>0</v>
      </c>
      <c r="P486" s="13">
        <f ca="1"/>
        <v>0</v>
      </c>
    </row>
    <row r="487" spans="12:16">
      <c r="L487" s="5">
        <f t="shared" ca="1" si="28"/>
        <v>0.48050000000000037</v>
      </c>
      <c r="M487">
        <f t="shared" ca="1" si="27"/>
        <v>144150.00000000012</v>
      </c>
      <c r="N487" s="4" t="e">
        <f ca="1"/>
        <v>#VALUE!</v>
      </c>
      <c r="O487" s="4">
        <f ca="1"/>
        <v>0</v>
      </c>
      <c r="P487" s="13">
        <f ca="1"/>
        <v>0</v>
      </c>
    </row>
    <row r="488" spans="12:16">
      <c r="L488" s="5">
        <f t="shared" ca="1" si="28"/>
        <v>0.48150000000000037</v>
      </c>
      <c r="M488">
        <f t="shared" ca="1" si="27"/>
        <v>144450.00000000012</v>
      </c>
      <c r="N488" s="4" t="e">
        <f ca="1"/>
        <v>#VALUE!</v>
      </c>
      <c r="O488" s="4">
        <f ca="1"/>
        <v>0</v>
      </c>
      <c r="P488" s="13">
        <f ca="1"/>
        <v>0</v>
      </c>
    </row>
    <row r="489" spans="12:16">
      <c r="L489" s="5">
        <f t="shared" ca="1" si="28"/>
        <v>0.48250000000000037</v>
      </c>
      <c r="M489">
        <f t="shared" ca="1" si="27"/>
        <v>144750.00000000012</v>
      </c>
      <c r="N489" s="4" t="e">
        <f ca="1"/>
        <v>#VALUE!</v>
      </c>
      <c r="O489" s="4">
        <f ca="1"/>
        <v>0</v>
      </c>
      <c r="P489" s="13">
        <f ca="1"/>
        <v>0</v>
      </c>
    </row>
    <row r="490" spans="12:16">
      <c r="L490" s="5">
        <f t="shared" ca="1" si="28"/>
        <v>0.48350000000000037</v>
      </c>
      <c r="M490">
        <f t="shared" ca="1" si="27"/>
        <v>145050.00000000012</v>
      </c>
      <c r="N490" s="4" t="e">
        <f ca="1"/>
        <v>#VALUE!</v>
      </c>
      <c r="O490" s="4">
        <f ca="1"/>
        <v>0</v>
      </c>
      <c r="P490" s="13">
        <f ca="1"/>
        <v>0</v>
      </c>
    </row>
    <row r="491" spans="12:16">
      <c r="L491" s="5">
        <f t="shared" ca="1" si="28"/>
        <v>0.48450000000000037</v>
      </c>
      <c r="M491">
        <f t="shared" ca="1" si="27"/>
        <v>145350.00000000012</v>
      </c>
      <c r="N491" s="4" t="e">
        <f ca="1"/>
        <v>#VALUE!</v>
      </c>
      <c r="O491" s="4">
        <f ca="1"/>
        <v>0</v>
      </c>
      <c r="P491" s="13">
        <f ca="1"/>
        <v>0</v>
      </c>
    </row>
    <row r="492" spans="12:16">
      <c r="L492" s="5">
        <f t="shared" ca="1" si="28"/>
        <v>0.48550000000000038</v>
      </c>
      <c r="M492">
        <f t="shared" ca="1" si="27"/>
        <v>145650.00000000012</v>
      </c>
      <c r="N492" s="4" t="e">
        <f ca="1"/>
        <v>#VALUE!</v>
      </c>
      <c r="O492" s="4">
        <f ca="1"/>
        <v>0</v>
      </c>
      <c r="P492" s="13">
        <f ca="1"/>
        <v>0</v>
      </c>
    </row>
    <row r="493" spans="12:16">
      <c r="L493" s="5">
        <f t="shared" ca="1" si="28"/>
        <v>0.48650000000000038</v>
      </c>
      <c r="M493">
        <f t="shared" ca="1" si="27"/>
        <v>145950.00000000012</v>
      </c>
      <c r="N493" s="4" t="e">
        <f ca="1"/>
        <v>#VALUE!</v>
      </c>
      <c r="O493" s="4">
        <f ca="1"/>
        <v>0</v>
      </c>
      <c r="P493" s="13">
        <f ca="1"/>
        <v>0</v>
      </c>
    </row>
    <row r="494" spans="12:16">
      <c r="L494" s="5">
        <f t="shared" ca="1" si="28"/>
        <v>0.48750000000000038</v>
      </c>
      <c r="M494">
        <f t="shared" ca="1" si="27"/>
        <v>146250.00000000012</v>
      </c>
      <c r="N494" s="4" t="e">
        <f ca="1"/>
        <v>#VALUE!</v>
      </c>
      <c r="O494" s="4">
        <f ca="1"/>
        <v>0</v>
      </c>
      <c r="P494" s="13">
        <f ca="1"/>
        <v>0</v>
      </c>
    </row>
    <row r="495" spans="12:16">
      <c r="L495" s="5">
        <f t="shared" ca="1" si="28"/>
        <v>0.48850000000000038</v>
      </c>
      <c r="M495">
        <f t="shared" ca="1" si="27"/>
        <v>146550.00000000012</v>
      </c>
      <c r="N495" s="4" t="e">
        <f ca="1"/>
        <v>#VALUE!</v>
      </c>
      <c r="O495" s="4">
        <f ca="1"/>
        <v>0</v>
      </c>
      <c r="P495" s="13">
        <f ca="1"/>
        <v>0</v>
      </c>
    </row>
    <row r="496" spans="12:16">
      <c r="L496" s="5">
        <f t="shared" ca="1" si="28"/>
        <v>0.48950000000000038</v>
      </c>
      <c r="M496">
        <f t="shared" ca="1" si="27"/>
        <v>146850.00000000012</v>
      </c>
      <c r="N496" s="4" t="e">
        <f ca="1"/>
        <v>#VALUE!</v>
      </c>
      <c r="O496" s="4">
        <f ca="1"/>
        <v>0</v>
      </c>
      <c r="P496" s="13">
        <f ca="1"/>
        <v>0</v>
      </c>
    </row>
    <row r="497" spans="12:16">
      <c r="L497" s="5">
        <f t="shared" ca="1" si="28"/>
        <v>0.49050000000000038</v>
      </c>
      <c r="M497">
        <f t="shared" ca="1" si="27"/>
        <v>147150.00000000012</v>
      </c>
      <c r="N497" s="4" t="e">
        <f ca="1"/>
        <v>#VALUE!</v>
      </c>
      <c r="O497" s="4">
        <f ca="1"/>
        <v>0</v>
      </c>
      <c r="P497" s="13">
        <f ca="1"/>
        <v>0</v>
      </c>
    </row>
    <row r="498" spans="12:16">
      <c r="L498" s="5">
        <f t="shared" ca="1" si="28"/>
        <v>0.49150000000000038</v>
      </c>
      <c r="M498">
        <f t="shared" ca="1" si="27"/>
        <v>147450.00000000012</v>
      </c>
      <c r="N498" s="4" t="e">
        <f ca="1"/>
        <v>#VALUE!</v>
      </c>
      <c r="O498" s="4">
        <f ca="1"/>
        <v>0</v>
      </c>
      <c r="P498" s="13">
        <f ca="1"/>
        <v>0</v>
      </c>
    </row>
    <row r="499" spans="12:16">
      <c r="L499" s="5">
        <f t="shared" ca="1" si="28"/>
        <v>0.49250000000000038</v>
      </c>
      <c r="M499">
        <f t="shared" ca="1" si="27"/>
        <v>147750.00000000012</v>
      </c>
      <c r="N499" s="4" t="e">
        <f ca="1"/>
        <v>#VALUE!</v>
      </c>
      <c r="O499" s="4">
        <f ca="1"/>
        <v>0</v>
      </c>
      <c r="P499" s="13">
        <f ca="1"/>
        <v>0</v>
      </c>
    </row>
    <row r="500" spans="12:16">
      <c r="L500" s="5">
        <f t="shared" ca="1" si="28"/>
        <v>0.49350000000000038</v>
      </c>
      <c r="M500">
        <f t="shared" ca="1" si="27"/>
        <v>148050.00000000012</v>
      </c>
      <c r="N500" s="4" t="e">
        <f ca="1"/>
        <v>#VALUE!</v>
      </c>
      <c r="O500" s="4">
        <f ca="1"/>
        <v>0</v>
      </c>
      <c r="P500" s="13">
        <f ca="1"/>
        <v>0</v>
      </c>
    </row>
    <row r="501" spans="12:16">
      <c r="L501" s="5">
        <f t="shared" ca="1" si="28"/>
        <v>0.49450000000000038</v>
      </c>
      <c r="M501">
        <f t="shared" ca="1" si="27"/>
        <v>148350.00000000012</v>
      </c>
      <c r="N501" s="4" t="e">
        <f ca="1"/>
        <v>#VALUE!</v>
      </c>
      <c r="O501" s="4">
        <f ca="1"/>
        <v>0</v>
      </c>
      <c r="P501" s="13">
        <f ca="1"/>
        <v>0</v>
      </c>
    </row>
    <row r="502" spans="12:16">
      <c r="L502" s="5">
        <f t="shared" ca="1" si="28"/>
        <v>0.49550000000000038</v>
      </c>
      <c r="M502">
        <f t="shared" ca="1" si="27"/>
        <v>148650.00000000012</v>
      </c>
      <c r="N502" s="4" t="e">
        <f ca="1"/>
        <v>#VALUE!</v>
      </c>
      <c r="O502" s="4">
        <f ca="1"/>
        <v>0</v>
      </c>
      <c r="P502" s="13">
        <f ca="1"/>
        <v>0</v>
      </c>
    </row>
    <row r="503" spans="12:16">
      <c r="L503" s="5">
        <f t="shared" ca="1" si="28"/>
        <v>0.49650000000000039</v>
      </c>
      <c r="M503">
        <f t="shared" ca="1" si="27"/>
        <v>148950.00000000012</v>
      </c>
      <c r="N503" s="4" t="e">
        <f ca="1"/>
        <v>#VALUE!</v>
      </c>
      <c r="O503" s="4">
        <f ca="1"/>
        <v>0</v>
      </c>
      <c r="P503" s="13">
        <f ca="1"/>
        <v>0</v>
      </c>
    </row>
    <row r="504" spans="12:16">
      <c r="L504" s="5">
        <f t="shared" ca="1" si="28"/>
        <v>0.49750000000000039</v>
      </c>
      <c r="M504">
        <f t="shared" ca="1" si="27"/>
        <v>149250.00000000012</v>
      </c>
      <c r="N504" s="4" t="e">
        <f ca="1"/>
        <v>#VALUE!</v>
      </c>
      <c r="O504" s="4">
        <f ca="1"/>
        <v>0</v>
      </c>
      <c r="P504" s="13">
        <f ca="1"/>
        <v>0</v>
      </c>
    </row>
    <row r="505" spans="12:16">
      <c r="L505" s="5">
        <f t="shared" ca="1" si="28"/>
        <v>0.49850000000000039</v>
      </c>
      <c r="M505">
        <f t="shared" ca="1" si="27"/>
        <v>149550.00000000012</v>
      </c>
      <c r="N505" s="4" t="e">
        <f ca="1"/>
        <v>#VALUE!</v>
      </c>
      <c r="O505" s="4">
        <f ca="1"/>
        <v>0</v>
      </c>
      <c r="P505" s="13">
        <f ca="1"/>
        <v>0</v>
      </c>
    </row>
    <row r="506" spans="12:16">
      <c r="L506" s="5">
        <f t="shared" ca="1" si="28"/>
        <v>0.49950000000000039</v>
      </c>
      <c r="M506">
        <f t="shared" ca="1" si="27"/>
        <v>149850.00000000012</v>
      </c>
      <c r="N506" s="4" t="e">
        <f ca="1"/>
        <v>#VALUE!</v>
      </c>
      <c r="O506" s="4">
        <f ca="1"/>
        <v>0</v>
      </c>
      <c r="P506" s="13">
        <f ca="1"/>
        <v>0</v>
      </c>
    </row>
    <row r="507" spans="12:16">
      <c r="M507">
        <f t="shared" ca="1" si="27"/>
        <v>0</v>
      </c>
      <c r="N507" s="4" t="e">
        <f ca="1"/>
        <v>#VALUE!</v>
      </c>
      <c r="O507" s="4">
        <f ca="1"/>
        <v>0</v>
      </c>
      <c r="P507" s="13">
        <f ca="1"/>
        <v>0</v>
      </c>
    </row>
    <row r="508" spans="12:16">
      <c r="M508">
        <f t="shared" ca="1" si="27"/>
        <v>0</v>
      </c>
      <c r="N508" s="4" t="e">
        <f ca="1"/>
        <v>#VALUE!</v>
      </c>
      <c r="O508" s="4">
        <f ca="1"/>
        <v>0</v>
      </c>
      <c r="P508" s="13">
        <f ca="1"/>
        <v>0</v>
      </c>
    </row>
    <row r="509" spans="12:16">
      <c r="M509">
        <f t="shared" ca="1" si="27"/>
        <v>0</v>
      </c>
      <c r="N509" s="4" t="e">
        <f ca="1"/>
        <v>#VALUE!</v>
      </c>
      <c r="O509" s="4">
        <f ca="1"/>
        <v>0</v>
      </c>
      <c r="P509" s="13">
        <f ca="1"/>
        <v>0</v>
      </c>
    </row>
    <row r="510" spans="12:16">
      <c r="M510">
        <f t="shared" ca="1" si="27"/>
        <v>0</v>
      </c>
      <c r="N510" s="4" t="e">
        <f ca="1"/>
        <v>#VALUE!</v>
      </c>
      <c r="O510" s="4">
        <f ca="1"/>
        <v>0</v>
      </c>
      <c r="P510" s="13">
        <f ca="1"/>
        <v>0</v>
      </c>
    </row>
    <row r="511" spans="12:16">
      <c r="M511">
        <f t="shared" ca="1" si="27"/>
        <v>0</v>
      </c>
      <c r="N511" s="4" t="e">
        <f ca="1"/>
        <v>#VALUE!</v>
      </c>
      <c r="O511" s="4">
        <f ca="1"/>
        <v>0</v>
      </c>
      <c r="P511" s="13">
        <f ca="1"/>
        <v>0</v>
      </c>
    </row>
    <row r="512" spans="12:16">
      <c r="M512">
        <f t="shared" ca="1" si="27"/>
        <v>0</v>
      </c>
      <c r="N512" s="4" t="e">
        <f ca="1"/>
        <v>#VALUE!</v>
      </c>
      <c r="O512" s="4">
        <f ca="1"/>
        <v>0</v>
      </c>
      <c r="P512" s="13">
        <f ca="1"/>
        <v>0</v>
      </c>
    </row>
    <row r="513" spans="13:16">
      <c r="M513">
        <f t="shared" ca="1" si="27"/>
        <v>0</v>
      </c>
      <c r="N513" s="4" t="e">
        <f ca="1"/>
        <v>#VALUE!</v>
      </c>
      <c r="O513" s="4">
        <f ca="1"/>
        <v>0</v>
      </c>
      <c r="P513" s="13">
        <f ca="1"/>
        <v>0</v>
      </c>
    </row>
    <row r="514" spans="13:16">
      <c r="M514">
        <f t="shared" ca="1" si="27"/>
        <v>0</v>
      </c>
      <c r="N514" s="4" t="e">
        <f ca="1"/>
        <v>#VALUE!</v>
      </c>
      <c r="O514" s="4">
        <f ca="1"/>
        <v>0</v>
      </c>
      <c r="P514" s="13">
        <f ca="1"/>
        <v>0</v>
      </c>
    </row>
    <row r="515" spans="13:16">
      <c r="M515">
        <f t="shared" ca="1" si="27"/>
        <v>0</v>
      </c>
      <c r="N515" s="4" t="e">
        <f ca="1"/>
        <v>#VALUE!</v>
      </c>
      <c r="O515" s="4">
        <f ca="1"/>
        <v>0</v>
      </c>
      <c r="P515" s="13">
        <f ca="1"/>
        <v>0</v>
      </c>
    </row>
    <row r="516" spans="13:16">
      <c r="M516">
        <f t="shared" ca="1" si="27"/>
        <v>0</v>
      </c>
      <c r="N516" s="4" t="e">
        <f ca="1"/>
        <v>#VALUE!</v>
      </c>
      <c r="O516" s="4">
        <f ca="1"/>
        <v>0</v>
      </c>
      <c r="P516" s="13">
        <f ca="1"/>
        <v>0</v>
      </c>
    </row>
    <row r="517" spans="13:16">
      <c r="M517">
        <f t="shared" ca="1" si="27"/>
        <v>0</v>
      </c>
      <c r="N517" s="4" t="e">
        <f ca="1"/>
        <v>#VALUE!</v>
      </c>
      <c r="O517" s="4">
        <f ca="1"/>
        <v>0</v>
      </c>
      <c r="P517" s="13">
        <f ca="1"/>
        <v>0</v>
      </c>
    </row>
    <row r="518" spans="13:16">
      <c r="M518">
        <f t="shared" ref="M518:M581" ca="1" si="29">L518*$K$10</f>
        <v>0</v>
      </c>
      <c r="N518" s="4" t="e">
        <f ca="1"/>
        <v>#VALUE!</v>
      </c>
      <c r="O518" s="4">
        <f ca="1"/>
        <v>0</v>
      </c>
      <c r="P518" s="13">
        <f ca="1"/>
        <v>0</v>
      </c>
    </row>
    <row r="519" spans="13:16">
      <c r="M519">
        <f t="shared" ca="1" si="29"/>
        <v>0</v>
      </c>
      <c r="N519" s="4" t="e">
        <f ca="1"/>
        <v>#VALUE!</v>
      </c>
      <c r="O519" s="4">
        <f ca="1"/>
        <v>0</v>
      </c>
      <c r="P519" s="13">
        <f ca="1"/>
        <v>0</v>
      </c>
    </row>
    <row r="520" spans="13:16">
      <c r="M520">
        <f t="shared" ca="1" si="29"/>
        <v>0</v>
      </c>
      <c r="N520" s="4" t="e">
        <f ca="1"/>
        <v>#VALUE!</v>
      </c>
      <c r="O520" s="4">
        <f ca="1"/>
        <v>0</v>
      </c>
      <c r="P520" s="13">
        <f ca="1"/>
        <v>0</v>
      </c>
    </row>
    <row r="521" spans="13:16">
      <c r="M521">
        <f t="shared" ca="1" si="29"/>
        <v>0</v>
      </c>
      <c r="N521" s="4" t="e">
        <f ca="1"/>
        <v>#VALUE!</v>
      </c>
      <c r="O521" s="4">
        <f ca="1"/>
        <v>0</v>
      </c>
      <c r="P521" s="13">
        <f ca="1"/>
        <v>0</v>
      </c>
    </row>
    <row r="522" spans="13:16">
      <c r="M522">
        <f t="shared" ca="1" si="29"/>
        <v>0</v>
      </c>
      <c r="N522" s="4" t="e">
        <f ca="1"/>
        <v>#VALUE!</v>
      </c>
      <c r="O522" s="4">
        <f ca="1"/>
        <v>0</v>
      </c>
      <c r="P522" s="13">
        <f ca="1"/>
        <v>0</v>
      </c>
    </row>
    <row r="523" spans="13:16">
      <c r="M523">
        <f t="shared" ca="1" si="29"/>
        <v>0</v>
      </c>
      <c r="N523" s="4" t="e">
        <f ca="1"/>
        <v>#VALUE!</v>
      </c>
      <c r="O523" s="4">
        <f ca="1"/>
        <v>0</v>
      </c>
      <c r="P523" s="13">
        <f ca="1"/>
        <v>0</v>
      </c>
    </row>
    <row r="524" spans="13:16">
      <c r="M524">
        <f t="shared" ca="1" si="29"/>
        <v>0</v>
      </c>
      <c r="N524" s="4" t="e">
        <f ca="1"/>
        <v>#VALUE!</v>
      </c>
      <c r="O524" s="4">
        <f ca="1"/>
        <v>0</v>
      </c>
      <c r="P524" s="13">
        <f ca="1"/>
        <v>0</v>
      </c>
    </row>
    <row r="525" spans="13:16">
      <c r="M525">
        <f t="shared" ca="1" si="29"/>
        <v>0</v>
      </c>
      <c r="N525" s="4" t="e">
        <f ca="1"/>
        <v>#VALUE!</v>
      </c>
      <c r="O525" s="4">
        <f ca="1"/>
        <v>0</v>
      </c>
      <c r="P525" s="13">
        <f ca="1"/>
        <v>0</v>
      </c>
    </row>
    <row r="526" spans="13:16">
      <c r="M526">
        <f t="shared" ca="1" si="29"/>
        <v>0</v>
      </c>
      <c r="N526" s="4" t="e">
        <f ca="1"/>
        <v>#VALUE!</v>
      </c>
      <c r="O526" s="4">
        <f ca="1"/>
        <v>0</v>
      </c>
      <c r="P526" s="13">
        <f ca="1"/>
        <v>0</v>
      </c>
    </row>
    <row r="527" spans="13:16">
      <c r="M527">
        <f t="shared" ca="1" si="29"/>
        <v>0</v>
      </c>
      <c r="N527" s="4" t="e">
        <f ca="1"/>
        <v>#VALUE!</v>
      </c>
      <c r="O527" s="4">
        <f ca="1"/>
        <v>0</v>
      </c>
      <c r="P527" s="13">
        <f ca="1"/>
        <v>0</v>
      </c>
    </row>
    <row r="528" spans="13:16">
      <c r="M528">
        <f t="shared" ca="1" si="29"/>
        <v>0</v>
      </c>
      <c r="N528" s="4" t="e">
        <f ca="1"/>
        <v>#VALUE!</v>
      </c>
      <c r="O528" s="4">
        <f ca="1"/>
        <v>0</v>
      </c>
      <c r="P528" s="13">
        <f ca="1"/>
        <v>0</v>
      </c>
    </row>
    <row r="529" spans="13:16">
      <c r="M529">
        <f t="shared" ca="1" si="29"/>
        <v>0</v>
      </c>
      <c r="N529" s="4" t="e">
        <f ca="1"/>
        <v>#VALUE!</v>
      </c>
      <c r="O529" s="4">
        <f ca="1"/>
        <v>0</v>
      </c>
      <c r="P529" s="13">
        <f ca="1"/>
        <v>0</v>
      </c>
    </row>
    <row r="530" spans="13:16">
      <c r="M530">
        <f t="shared" ca="1" si="29"/>
        <v>0</v>
      </c>
      <c r="N530" s="4" t="e">
        <f ca="1"/>
        <v>#VALUE!</v>
      </c>
      <c r="O530" s="4">
        <f ca="1"/>
        <v>0</v>
      </c>
      <c r="P530" s="13">
        <f ca="1"/>
        <v>0</v>
      </c>
    </row>
    <row r="531" spans="13:16">
      <c r="M531">
        <f t="shared" ca="1" si="29"/>
        <v>0</v>
      </c>
      <c r="N531" s="4" t="e">
        <f ca="1"/>
        <v>#VALUE!</v>
      </c>
      <c r="O531" s="4">
        <f ca="1"/>
        <v>0</v>
      </c>
      <c r="P531" s="13">
        <f ca="1"/>
        <v>0</v>
      </c>
    </row>
    <row r="532" spans="13:16">
      <c r="M532">
        <f t="shared" ca="1" si="29"/>
        <v>0</v>
      </c>
      <c r="N532" s="4" t="e">
        <f ca="1"/>
        <v>#VALUE!</v>
      </c>
      <c r="O532" s="4">
        <f ca="1"/>
        <v>0</v>
      </c>
      <c r="P532" s="13">
        <f ca="1"/>
        <v>0</v>
      </c>
    </row>
    <row r="533" spans="13:16">
      <c r="M533">
        <f t="shared" ca="1" si="29"/>
        <v>0</v>
      </c>
      <c r="N533" s="4" t="e">
        <f ca="1"/>
        <v>#VALUE!</v>
      </c>
      <c r="O533" s="4">
        <f ca="1"/>
        <v>0</v>
      </c>
      <c r="P533" s="13">
        <f ca="1"/>
        <v>0</v>
      </c>
    </row>
    <row r="534" spans="13:16">
      <c r="M534">
        <f t="shared" ca="1" si="29"/>
        <v>0</v>
      </c>
      <c r="N534" s="4" t="e">
        <f ca="1"/>
        <v>#VALUE!</v>
      </c>
      <c r="O534" s="4">
        <f ca="1"/>
        <v>0</v>
      </c>
      <c r="P534" s="13">
        <f ca="1"/>
        <v>0</v>
      </c>
    </row>
    <row r="535" spans="13:16">
      <c r="M535">
        <f t="shared" ca="1" si="29"/>
        <v>0</v>
      </c>
      <c r="N535" s="4" t="e">
        <f ca="1"/>
        <v>#VALUE!</v>
      </c>
      <c r="O535" s="4">
        <f ca="1"/>
        <v>0</v>
      </c>
      <c r="P535" s="13">
        <f ca="1"/>
        <v>0</v>
      </c>
    </row>
    <row r="536" spans="13:16">
      <c r="M536">
        <f t="shared" ca="1" si="29"/>
        <v>0</v>
      </c>
      <c r="N536" s="4" t="e">
        <f ca="1"/>
        <v>#VALUE!</v>
      </c>
      <c r="O536" s="4">
        <f ca="1"/>
        <v>0</v>
      </c>
      <c r="P536" s="13">
        <f ca="1"/>
        <v>0</v>
      </c>
    </row>
    <row r="537" spans="13:16">
      <c r="M537">
        <f t="shared" ca="1" si="29"/>
        <v>0</v>
      </c>
      <c r="N537" s="4" t="e">
        <f ca="1"/>
        <v>#VALUE!</v>
      </c>
      <c r="O537" s="4">
        <f ca="1"/>
        <v>0</v>
      </c>
      <c r="P537" s="13">
        <f ca="1"/>
        <v>0</v>
      </c>
    </row>
    <row r="538" spans="13:16">
      <c r="M538">
        <f t="shared" ca="1" si="29"/>
        <v>0</v>
      </c>
      <c r="N538" s="4" t="e">
        <f ca="1"/>
        <v>#VALUE!</v>
      </c>
      <c r="O538" s="4">
        <f ca="1"/>
        <v>0</v>
      </c>
      <c r="P538" s="13">
        <f ca="1"/>
        <v>0</v>
      </c>
    </row>
    <row r="539" spans="13:16">
      <c r="M539">
        <f t="shared" ca="1" si="29"/>
        <v>0</v>
      </c>
      <c r="N539" s="4" t="e">
        <f ca="1"/>
        <v>#VALUE!</v>
      </c>
      <c r="O539" s="4">
        <f ca="1"/>
        <v>0</v>
      </c>
      <c r="P539" s="13">
        <f ca="1"/>
        <v>0</v>
      </c>
    </row>
    <row r="540" spans="13:16">
      <c r="M540">
        <f t="shared" ca="1" si="29"/>
        <v>0</v>
      </c>
      <c r="N540" s="4" t="e">
        <f ca="1"/>
        <v>#VALUE!</v>
      </c>
      <c r="O540" s="4">
        <f ca="1"/>
        <v>0</v>
      </c>
      <c r="P540" s="13">
        <f ca="1"/>
        <v>0</v>
      </c>
    </row>
    <row r="541" spans="13:16">
      <c r="M541">
        <f t="shared" ca="1" si="29"/>
        <v>0</v>
      </c>
      <c r="N541" s="4" t="e">
        <f ca="1"/>
        <v>#VALUE!</v>
      </c>
      <c r="O541" s="4">
        <f ca="1"/>
        <v>0</v>
      </c>
      <c r="P541" s="13">
        <f ca="1"/>
        <v>0</v>
      </c>
    </row>
    <row r="542" spans="13:16">
      <c r="M542">
        <f t="shared" ca="1" si="29"/>
        <v>0</v>
      </c>
      <c r="N542" s="4" t="e">
        <f ca="1"/>
        <v>#VALUE!</v>
      </c>
      <c r="O542" s="4">
        <f ca="1"/>
        <v>0</v>
      </c>
      <c r="P542" s="13">
        <f ca="1"/>
        <v>0</v>
      </c>
    </row>
    <row r="543" spans="13:16">
      <c r="M543">
        <f t="shared" ca="1" si="29"/>
        <v>0</v>
      </c>
      <c r="N543" s="4" t="e">
        <f ca="1"/>
        <v>#VALUE!</v>
      </c>
      <c r="O543" s="4">
        <f ca="1"/>
        <v>0</v>
      </c>
      <c r="P543" s="13">
        <f ca="1"/>
        <v>0</v>
      </c>
    </row>
    <row r="544" spans="13:16">
      <c r="M544">
        <f t="shared" ca="1" si="29"/>
        <v>0</v>
      </c>
      <c r="N544" s="4" t="e">
        <f ca="1"/>
        <v>#VALUE!</v>
      </c>
      <c r="O544" s="4">
        <f ca="1"/>
        <v>0</v>
      </c>
      <c r="P544" s="13">
        <f ca="1"/>
        <v>0</v>
      </c>
    </row>
    <row r="545" spans="13:16">
      <c r="M545">
        <f t="shared" ca="1" si="29"/>
        <v>0</v>
      </c>
      <c r="N545" s="4" t="e">
        <f ca="1"/>
        <v>#VALUE!</v>
      </c>
      <c r="O545" s="4">
        <f ca="1"/>
        <v>0</v>
      </c>
      <c r="P545" s="13">
        <f ca="1"/>
        <v>0</v>
      </c>
    </row>
    <row r="546" spans="13:16">
      <c r="M546">
        <f t="shared" ca="1" si="29"/>
        <v>0</v>
      </c>
      <c r="N546" s="4" t="e">
        <f ca="1"/>
        <v>#VALUE!</v>
      </c>
      <c r="O546" s="4">
        <f ca="1"/>
        <v>0</v>
      </c>
      <c r="P546" s="13">
        <f ca="1"/>
        <v>0</v>
      </c>
    </row>
    <row r="547" spans="13:16">
      <c r="M547">
        <f t="shared" ca="1" si="29"/>
        <v>0</v>
      </c>
      <c r="N547" s="4" t="e">
        <f ca="1"/>
        <v>#VALUE!</v>
      </c>
      <c r="O547" s="4">
        <f ca="1"/>
        <v>0</v>
      </c>
      <c r="P547" s="13">
        <f ca="1"/>
        <v>0</v>
      </c>
    </row>
    <row r="548" spans="13:16">
      <c r="M548">
        <f t="shared" ca="1" si="29"/>
        <v>0</v>
      </c>
      <c r="N548" s="4" t="e">
        <f ca="1"/>
        <v>#VALUE!</v>
      </c>
      <c r="O548" s="4">
        <f ca="1"/>
        <v>0</v>
      </c>
      <c r="P548" s="13">
        <f ca="1"/>
        <v>0</v>
      </c>
    </row>
    <row r="549" spans="13:16">
      <c r="M549">
        <f t="shared" ca="1" si="29"/>
        <v>0</v>
      </c>
      <c r="N549" s="4" t="e">
        <f ca="1"/>
        <v>#VALUE!</v>
      </c>
      <c r="O549" s="4">
        <f ca="1"/>
        <v>0</v>
      </c>
      <c r="P549" s="13">
        <f ca="1"/>
        <v>0</v>
      </c>
    </row>
    <row r="550" spans="13:16">
      <c r="M550">
        <f t="shared" ca="1" si="29"/>
        <v>0</v>
      </c>
      <c r="N550" s="4" t="e">
        <f ca="1"/>
        <v>#VALUE!</v>
      </c>
      <c r="O550" s="4">
        <f ca="1"/>
        <v>0</v>
      </c>
      <c r="P550" s="13">
        <f ca="1"/>
        <v>0</v>
      </c>
    </row>
    <row r="551" spans="13:16">
      <c r="M551">
        <f t="shared" ca="1" si="29"/>
        <v>0</v>
      </c>
      <c r="N551" s="4" t="e">
        <f ca="1"/>
        <v>#VALUE!</v>
      </c>
      <c r="O551" s="4">
        <f ca="1"/>
        <v>0</v>
      </c>
      <c r="P551" s="13">
        <f ca="1"/>
        <v>0</v>
      </c>
    </row>
    <row r="552" spans="13:16">
      <c r="M552">
        <f t="shared" ca="1" si="29"/>
        <v>0</v>
      </c>
      <c r="N552" s="4" t="e">
        <f ca="1"/>
        <v>#VALUE!</v>
      </c>
      <c r="O552" s="4">
        <f ca="1"/>
        <v>0</v>
      </c>
      <c r="P552" s="13">
        <f ca="1"/>
        <v>0</v>
      </c>
    </row>
    <row r="553" spans="13:16">
      <c r="M553">
        <f t="shared" ca="1" si="29"/>
        <v>0</v>
      </c>
      <c r="N553" s="4" t="e">
        <f ca="1"/>
        <v>#VALUE!</v>
      </c>
      <c r="O553" s="4">
        <f ca="1"/>
        <v>0</v>
      </c>
      <c r="P553" s="13">
        <f ca="1"/>
        <v>0</v>
      </c>
    </row>
    <row r="554" spans="13:16">
      <c r="M554">
        <f t="shared" ca="1" si="29"/>
        <v>0</v>
      </c>
      <c r="N554" s="4" t="e">
        <f ca="1"/>
        <v>#VALUE!</v>
      </c>
      <c r="O554" s="4">
        <f ca="1"/>
        <v>0</v>
      </c>
      <c r="P554" s="13">
        <f ca="1"/>
        <v>0</v>
      </c>
    </row>
    <row r="555" spans="13:16">
      <c r="M555">
        <f t="shared" ca="1" si="29"/>
        <v>0</v>
      </c>
      <c r="N555" s="4" t="e">
        <f ca="1"/>
        <v>#VALUE!</v>
      </c>
      <c r="O555" s="4">
        <f ca="1"/>
        <v>0</v>
      </c>
      <c r="P555" s="13">
        <f ca="1"/>
        <v>0</v>
      </c>
    </row>
    <row r="556" spans="13:16">
      <c r="M556">
        <f t="shared" ca="1" si="29"/>
        <v>0</v>
      </c>
      <c r="N556" s="4" t="e">
        <f ca="1"/>
        <v>#VALUE!</v>
      </c>
      <c r="O556" s="4">
        <f ca="1"/>
        <v>0</v>
      </c>
      <c r="P556" s="13">
        <f ca="1"/>
        <v>0</v>
      </c>
    </row>
    <row r="557" spans="13:16">
      <c r="M557">
        <f t="shared" ca="1" si="29"/>
        <v>0</v>
      </c>
      <c r="N557" s="4" t="e">
        <f ca="1"/>
        <v>#VALUE!</v>
      </c>
      <c r="O557" s="4">
        <f ca="1"/>
        <v>0</v>
      </c>
      <c r="P557" s="13">
        <f ca="1"/>
        <v>0</v>
      </c>
    </row>
    <row r="558" spans="13:16">
      <c r="M558">
        <f t="shared" ca="1" si="29"/>
        <v>0</v>
      </c>
      <c r="N558" s="4" t="e">
        <f ca="1"/>
        <v>#VALUE!</v>
      </c>
      <c r="O558" s="4">
        <f ca="1"/>
        <v>0</v>
      </c>
      <c r="P558" s="13">
        <f ca="1"/>
        <v>0</v>
      </c>
    </row>
    <row r="559" spans="13:16">
      <c r="M559">
        <f t="shared" ca="1" si="29"/>
        <v>0</v>
      </c>
      <c r="N559" s="4" t="e">
        <f ca="1"/>
        <v>#VALUE!</v>
      </c>
      <c r="O559" s="4">
        <f ca="1"/>
        <v>0</v>
      </c>
      <c r="P559" s="13">
        <f ca="1"/>
        <v>0</v>
      </c>
    </row>
    <row r="560" spans="13:16">
      <c r="M560">
        <f t="shared" ca="1" si="29"/>
        <v>0</v>
      </c>
      <c r="N560" s="4" t="e">
        <f ca="1"/>
        <v>#VALUE!</v>
      </c>
      <c r="O560" s="4">
        <f ca="1"/>
        <v>0</v>
      </c>
      <c r="P560" s="13">
        <f ca="1"/>
        <v>0</v>
      </c>
    </row>
    <row r="561" spans="13:16">
      <c r="M561">
        <f t="shared" ca="1" si="29"/>
        <v>0</v>
      </c>
      <c r="N561" s="4" t="e">
        <f ca="1"/>
        <v>#VALUE!</v>
      </c>
      <c r="O561" s="4">
        <f ca="1"/>
        <v>0</v>
      </c>
      <c r="P561" s="13">
        <f ca="1"/>
        <v>0</v>
      </c>
    </row>
    <row r="562" spans="13:16">
      <c r="M562">
        <f t="shared" ca="1" si="29"/>
        <v>0</v>
      </c>
      <c r="N562" s="4" t="e">
        <f ca="1"/>
        <v>#VALUE!</v>
      </c>
      <c r="O562" s="4">
        <f ca="1"/>
        <v>0</v>
      </c>
      <c r="P562" s="13">
        <f ca="1"/>
        <v>0</v>
      </c>
    </row>
    <row r="563" spans="13:16">
      <c r="M563">
        <f t="shared" ca="1" si="29"/>
        <v>0</v>
      </c>
      <c r="N563" s="4" t="e">
        <f ca="1"/>
        <v>#VALUE!</v>
      </c>
      <c r="O563" s="4">
        <f ca="1"/>
        <v>0</v>
      </c>
      <c r="P563" s="13">
        <f ca="1"/>
        <v>0</v>
      </c>
    </row>
    <row r="564" spans="13:16">
      <c r="M564">
        <f t="shared" ca="1" si="29"/>
        <v>0</v>
      </c>
      <c r="N564" s="4" t="e">
        <f ca="1"/>
        <v>#VALUE!</v>
      </c>
      <c r="O564" s="4">
        <f ca="1"/>
        <v>0</v>
      </c>
      <c r="P564" s="13">
        <f ca="1"/>
        <v>0</v>
      </c>
    </row>
    <row r="565" spans="13:16">
      <c r="M565">
        <f t="shared" ca="1" si="29"/>
        <v>0</v>
      </c>
      <c r="N565" s="4" t="e">
        <f ca="1"/>
        <v>#VALUE!</v>
      </c>
      <c r="O565" s="4">
        <f ca="1"/>
        <v>0</v>
      </c>
      <c r="P565" s="13">
        <f ca="1"/>
        <v>0</v>
      </c>
    </row>
    <row r="566" spans="13:16">
      <c r="M566">
        <f t="shared" ca="1" si="29"/>
        <v>0</v>
      </c>
      <c r="N566" s="4" t="e">
        <f ca="1"/>
        <v>#VALUE!</v>
      </c>
      <c r="O566" s="4">
        <f ca="1"/>
        <v>0</v>
      </c>
      <c r="P566" s="13">
        <f ca="1"/>
        <v>0</v>
      </c>
    </row>
    <row r="567" spans="13:16">
      <c r="M567">
        <f t="shared" ca="1" si="29"/>
        <v>0</v>
      </c>
      <c r="N567" s="4" t="e">
        <f ca="1"/>
        <v>#VALUE!</v>
      </c>
      <c r="O567" s="4">
        <f ca="1"/>
        <v>0</v>
      </c>
      <c r="P567" s="13">
        <f ca="1"/>
        <v>0</v>
      </c>
    </row>
    <row r="568" spans="13:16">
      <c r="M568">
        <f t="shared" ca="1" si="29"/>
        <v>0</v>
      </c>
      <c r="N568" s="4" t="e">
        <f ca="1"/>
        <v>#VALUE!</v>
      </c>
      <c r="O568" s="4">
        <f ca="1"/>
        <v>0</v>
      </c>
      <c r="P568" s="13">
        <f ca="1"/>
        <v>0</v>
      </c>
    </row>
    <row r="569" spans="13:16">
      <c r="M569">
        <f t="shared" ca="1" si="29"/>
        <v>0</v>
      </c>
      <c r="N569" s="4" t="e">
        <f ca="1"/>
        <v>#VALUE!</v>
      </c>
      <c r="O569" s="4">
        <f ca="1"/>
        <v>0</v>
      </c>
      <c r="P569" s="13">
        <f ca="1"/>
        <v>0</v>
      </c>
    </row>
    <row r="570" spans="13:16">
      <c r="M570">
        <f t="shared" ca="1" si="29"/>
        <v>0</v>
      </c>
      <c r="N570" s="4" t="e">
        <f ca="1"/>
        <v>#VALUE!</v>
      </c>
      <c r="O570" s="4">
        <f ca="1"/>
        <v>0</v>
      </c>
      <c r="P570" s="13">
        <f ca="1"/>
        <v>0</v>
      </c>
    </row>
    <row r="571" spans="13:16">
      <c r="M571">
        <f t="shared" ca="1" si="29"/>
        <v>0</v>
      </c>
      <c r="N571" s="4" t="e">
        <f ca="1"/>
        <v>#VALUE!</v>
      </c>
      <c r="O571" s="4">
        <f ca="1"/>
        <v>0</v>
      </c>
      <c r="P571" s="13">
        <f ca="1"/>
        <v>0</v>
      </c>
    </row>
    <row r="572" spans="13:16">
      <c r="M572">
        <f t="shared" ca="1" si="29"/>
        <v>0</v>
      </c>
      <c r="N572" s="4" t="e">
        <f ca="1"/>
        <v>#VALUE!</v>
      </c>
      <c r="O572" s="4">
        <f ca="1"/>
        <v>0</v>
      </c>
      <c r="P572" s="13">
        <f ca="1"/>
        <v>0</v>
      </c>
    </row>
    <row r="573" spans="13:16">
      <c r="M573">
        <f t="shared" ca="1" si="29"/>
        <v>0</v>
      </c>
      <c r="N573" s="4" t="e">
        <f ca="1"/>
        <v>#VALUE!</v>
      </c>
      <c r="O573" s="4">
        <f ca="1"/>
        <v>0</v>
      </c>
      <c r="P573" s="13">
        <f ca="1"/>
        <v>0</v>
      </c>
    </row>
    <row r="574" spans="13:16">
      <c r="M574">
        <f t="shared" ca="1" si="29"/>
        <v>0</v>
      </c>
      <c r="N574" s="4" t="e">
        <f ca="1"/>
        <v>#VALUE!</v>
      </c>
      <c r="O574" s="4">
        <f ca="1"/>
        <v>0</v>
      </c>
      <c r="P574" s="13">
        <f ca="1"/>
        <v>0</v>
      </c>
    </row>
    <row r="575" spans="13:16">
      <c r="M575">
        <f t="shared" ca="1" si="29"/>
        <v>0</v>
      </c>
      <c r="N575" s="4" t="e">
        <f ca="1"/>
        <v>#VALUE!</v>
      </c>
      <c r="O575" s="4">
        <f ca="1"/>
        <v>0</v>
      </c>
      <c r="P575" s="13">
        <f ca="1"/>
        <v>0</v>
      </c>
    </row>
    <row r="576" spans="13:16">
      <c r="M576">
        <f t="shared" ca="1" si="29"/>
        <v>0</v>
      </c>
      <c r="N576" s="4" t="e">
        <f ca="1"/>
        <v>#VALUE!</v>
      </c>
      <c r="O576" s="4">
        <f ca="1"/>
        <v>0</v>
      </c>
      <c r="P576" s="13">
        <f ca="1"/>
        <v>0</v>
      </c>
    </row>
    <row r="577" spans="13:16">
      <c r="M577">
        <f t="shared" ca="1" si="29"/>
        <v>0</v>
      </c>
      <c r="N577" s="4" t="e">
        <f ca="1"/>
        <v>#VALUE!</v>
      </c>
      <c r="O577" s="4">
        <f ca="1"/>
        <v>0</v>
      </c>
      <c r="P577" s="13">
        <f ca="1"/>
        <v>0</v>
      </c>
    </row>
    <row r="578" spans="13:16">
      <c r="M578">
        <f t="shared" ca="1" si="29"/>
        <v>0</v>
      </c>
      <c r="N578" s="4" t="e">
        <f ca="1"/>
        <v>#VALUE!</v>
      </c>
      <c r="O578" s="4">
        <f ca="1"/>
        <v>0</v>
      </c>
      <c r="P578" s="13">
        <f ca="1"/>
        <v>0</v>
      </c>
    </row>
    <row r="579" spans="13:16">
      <c r="M579">
        <f t="shared" ca="1" si="29"/>
        <v>0</v>
      </c>
      <c r="N579" s="4" t="e">
        <f ca="1"/>
        <v>#VALUE!</v>
      </c>
      <c r="O579" s="4">
        <f ca="1"/>
        <v>0</v>
      </c>
      <c r="P579" s="13">
        <f ca="1"/>
        <v>0</v>
      </c>
    </row>
    <row r="580" spans="13:16">
      <c r="M580">
        <f t="shared" ca="1" si="29"/>
        <v>0</v>
      </c>
      <c r="N580" s="4" t="e">
        <f ca="1"/>
        <v>#VALUE!</v>
      </c>
      <c r="O580" s="4">
        <f ca="1"/>
        <v>0</v>
      </c>
      <c r="P580" s="13">
        <f ca="1"/>
        <v>0</v>
      </c>
    </row>
    <row r="581" spans="13:16">
      <c r="M581">
        <f t="shared" ca="1" si="29"/>
        <v>0</v>
      </c>
      <c r="N581" s="4" t="e">
        <f ca="1"/>
        <v>#VALUE!</v>
      </c>
      <c r="O581" s="4">
        <f ca="1"/>
        <v>0</v>
      </c>
      <c r="P581" s="13">
        <f ca="1"/>
        <v>0</v>
      </c>
    </row>
    <row r="582" spans="13:16">
      <c r="M582">
        <f t="shared" ref="M582:M645" ca="1" si="30">L582*$K$10</f>
        <v>0</v>
      </c>
      <c r="N582" s="4" t="e">
        <f ca="1"/>
        <v>#VALUE!</v>
      </c>
      <c r="O582" s="4">
        <f ca="1"/>
        <v>0</v>
      </c>
      <c r="P582" s="13">
        <f ca="1"/>
        <v>0</v>
      </c>
    </row>
    <row r="583" spans="13:16">
      <c r="M583">
        <f t="shared" ca="1" si="30"/>
        <v>0</v>
      </c>
      <c r="N583" s="4" t="e">
        <f ca="1"/>
        <v>#VALUE!</v>
      </c>
      <c r="O583" s="4">
        <f ca="1"/>
        <v>0</v>
      </c>
      <c r="P583" s="13">
        <f ca="1"/>
        <v>0</v>
      </c>
    </row>
    <row r="584" spans="13:16">
      <c r="M584">
        <f t="shared" ca="1" si="30"/>
        <v>0</v>
      </c>
      <c r="N584" s="4" t="e">
        <f ca="1"/>
        <v>#VALUE!</v>
      </c>
      <c r="O584" s="4">
        <f ca="1"/>
        <v>0</v>
      </c>
      <c r="P584" s="13">
        <f ca="1"/>
        <v>0</v>
      </c>
    </row>
    <row r="585" spans="13:16">
      <c r="M585">
        <f t="shared" ca="1" si="30"/>
        <v>0</v>
      </c>
      <c r="N585" s="4" t="e">
        <f ca="1"/>
        <v>#VALUE!</v>
      </c>
      <c r="O585" s="4">
        <f ca="1"/>
        <v>0</v>
      </c>
      <c r="P585" s="13">
        <f ca="1"/>
        <v>0</v>
      </c>
    </row>
    <row r="586" spans="13:16">
      <c r="M586">
        <f t="shared" ca="1" si="30"/>
        <v>0</v>
      </c>
      <c r="N586" s="4" t="e">
        <f ca="1"/>
        <v>#VALUE!</v>
      </c>
      <c r="O586" s="4">
        <f ca="1"/>
        <v>0</v>
      </c>
      <c r="P586" s="13">
        <f ca="1"/>
        <v>0</v>
      </c>
    </row>
    <row r="587" spans="13:16">
      <c r="M587">
        <f t="shared" ca="1" si="30"/>
        <v>0</v>
      </c>
      <c r="N587" s="4" t="e">
        <f ca="1"/>
        <v>#VALUE!</v>
      </c>
      <c r="O587" s="4">
        <f ca="1"/>
        <v>0</v>
      </c>
      <c r="P587" s="13">
        <f ca="1"/>
        <v>0</v>
      </c>
    </row>
    <row r="588" spans="13:16">
      <c r="M588">
        <f t="shared" ca="1" si="30"/>
        <v>0</v>
      </c>
      <c r="N588" s="4" t="e">
        <f ca="1"/>
        <v>#VALUE!</v>
      </c>
      <c r="O588" s="4">
        <f ca="1"/>
        <v>0</v>
      </c>
      <c r="P588" s="13">
        <f ca="1"/>
        <v>0</v>
      </c>
    </row>
    <row r="589" spans="13:16">
      <c r="M589">
        <f t="shared" ca="1" si="30"/>
        <v>0</v>
      </c>
      <c r="N589" s="4" t="e">
        <f ca="1"/>
        <v>#VALUE!</v>
      </c>
      <c r="O589" s="4">
        <f ca="1"/>
        <v>0</v>
      </c>
      <c r="P589" s="13">
        <f ca="1"/>
        <v>0</v>
      </c>
    </row>
    <row r="590" spans="13:16">
      <c r="M590">
        <f t="shared" ca="1" si="30"/>
        <v>0</v>
      </c>
      <c r="N590" s="4" t="e">
        <f ca="1"/>
        <v>#VALUE!</v>
      </c>
      <c r="O590" s="4">
        <f ca="1"/>
        <v>0</v>
      </c>
      <c r="P590" s="13">
        <f ca="1"/>
        <v>0</v>
      </c>
    </row>
    <row r="591" spans="13:16">
      <c r="M591">
        <f t="shared" ca="1" si="30"/>
        <v>0</v>
      </c>
      <c r="N591" s="4" t="e">
        <f ca="1"/>
        <v>#VALUE!</v>
      </c>
      <c r="O591" s="4">
        <f ca="1"/>
        <v>0</v>
      </c>
      <c r="P591" s="13">
        <f ca="1"/>
        <v>0</v>
      </c>
    </row>
    <row r="592" spans="13:16">
      <c r="M592">
        <f t="shared" ca="1" si="30"/>
        <v>0</v>
      </c>
      <c r="N592" s="4" t="e">
        <f ca="1"/>
        <v>#VALUE!</v>
      </c>
      <c r="O592" s="4">
        <f ca="1"/>
        <v>0</v>
      </c>
      <c r="P592" s="13">
        <f ca="1"/>
        <v>0</v>
      </c>
    </row>
    <row r="593" spans="13:16">
      <c r="M593">
        <f t="shared" ca="1" si="30"/>
        <v>0</v>
      </c>
      <c r="N593" s="4" t="e">
        <f ca="1"/>
        <v>#VALUE!</v>
      </c>
      <c r="O593" s="4">
        <f ca="1"/>
        <v>0</v>
      </c>
      <c r="P593" s="13">
        <f ca="1"/>
        <v>0</v>
      </c>
    </row>
    <row r="594" spans="13:16">
      <c r="M594">
        <f t="shared" ca="1" si="30"/>
        <v>0</v>
      </c>
      <c r="N594" s="4" t="e">
        <f ca="1"/>
        <v>#VALUE!</v>
      </c>
      <c r="O594" s="4">
        <f ca="1"/>
        <v>0</v>
      </c>
      <c r="P594" s="13">
        <f ca="1"/>
        <v>0</v>
      </c>
    </row>
    <row r="595" spans="13:16">
      <c r="M595">
        <f t="shared" ca="1" si="30"/>
        <v>0</v>
      </c>
      <c r="N595" s="4" t="e">
        <f ca="1"/>
        <v>#VALUE!</v>
      </c>
      <c r="O595" s="4">
        <f ca="1"/>
        <v>0</v>
      </c>
      <c r="P595" s="13">
        <f ca="1"/>
        <v>0</v>
      </c>
    </row>
    <row r="596" spans="13:16">
      <c r="M596">
        <f t="shared" ca="1" si="30"/>
        <v>0</v>
      </c>
      <c r="N596" s="4" t="e">
        <f ca="1"/>
        <v>#VALUE!</v>
      </c>
      <c r="O596" s="4">
        <f ca="1"/>
        <v>0</v>
      </c>
      <c r="P596" s="13">
        <f ca="1"/>
        <v>0</v>
      </c>
    </row>
    <row r="597" spans="13:16">
      <c r="M597">
        <f t="shared" ca="1" si="30"/>
        <v>0</v>
      </c>
      <c r="N597" s="4" t="e">
        <f ca="1"/>
        <v>#VALUE!</v>
      </c>
      <c r="O597" s="4">
        <f ca="1"/>
        <v>0</v>
      </c>
      <c r="P597" s="13">
        <f ca="1"/>
        <v>0</v>
      </c>
    </row>
    <row r="598" spans="13:16">
      <c r="M598">
        <f t="shared" ca="1" si="30"/>
        <v>0</v>
      </c>
      <c r="N598" s="4" t="e">
        <f ca="1"/>
        <v>#VALUE!</v>
      </c>
      <c r="O598" s="4">
        <f ca="1"/>
        <v>0</v>
      </c>
      <c r="P598" s="13">
        <f ca="1"/>
        <v>0</v>
      </c>
    </row>
    <row r="599" spans="13:16">
      <c r="M599">
        <f t="shared" ca="1" si="30"/>
        <v>0</v>
      </c>
      <c r="N599" s="4" t="e">
        <f ca="1"/>
        <v>#VALUE!</v>
      </c>
      <c r="O599" s="4">
        <f ca="1"/>
        <v>0</v>
      </c>
      <c r="P599" s="13">
        <f ca="1"/>
        <v>0</v>
      </c>
    </row>
    <row r="600" spans="13:16">
      <c r="M600">
        <f t="shared" ca="1" si="30"/>
        <v>0</v>
      </c>
      <c r="N600" s="4" t="e">
        <f ca="1"/>
        <v>#VALUE!</v>
      </c>
      <c r="O600" s="4">
        <f ca="1"/>
        <v>0</v>
      </c>
      <c r="P600" s="13">
        <f ca="1"/>
        <v>0</v>
      </c>
    </row>
    <row r="601" spans="13:16">
      <c r="M601">
        <f t="shared" ca="1" si="30"/>
        <v>0</v>
      </c>
      <c r="N601" s="4" t="e">
        <f ca="1"/>
        <v>#VALUE!</v>
      </c>
      <c r="O601" s="4">
        <f ca="1"/>
        <v>0</v>
      </c>
      <c r="P601" s="13">
        <f ca="1"/>
        <v>0</v>
      </c>
    </row>
    <row r="602" spans="13:16">
      <c r="M602">
        <f t="shared" ca="1" si="30"/>
        <v>0</v>
      </c>
      <c r="N602" s="4" t="e">
        <f ca="1"/>
        <v>#VALUE!</v>
      </c>
      <c r="O602" s="4">
        <f ca="1"/>
        <v>0</v>
      </c>
      <c r="P602" s="13">
        <f ca="1"/>
        <v>0</v>
      </c>
    </row>
    <row r="603" spans="13:16">
      <c r="M603">
        <f t="shared" ca="1" si="30"/>
        <v>0</v>
      </c>
      <c r="N603" s="4" t="e">
        <f ca="1"/>
        <v>#VALUE!</v>
      </c>
      <c r="O603" s="4">
        <f ca="1"/>
        <v>0</v>
      </c>
      <c r="P603" s="13">
        <f ca="1"/>
        <v>0</v>
      </c>
    </row>
    <row r="604" spans="13:16">
      <c r="M604">
        <f t="shared" ca="1" si="30"/>
        <v>0</v>
      </c>
      <c r="N604" s="4" t="e">
        <f ca="1"/>
        <v>#VALUE!</v>
      </c>
      <c r="O604" s="4">
        <f ca="1"/>
        <v>0</v>
      </c>
      <c r="P604" s="13">
        <f ca="1"/>
        <v>0</v>
      </c>
    </row>
    <row r="605" spans="13:16">
      <c r="M605">
        <f t="shared" ca="1" si="30"/>
        <v>0</v>
      </c>
      <c r="N605" s="4" t="e">
        <f ca="1"/>
        <v>#VALUE!</v>
      </c>
      <c r="O605" s="4">
        <f ca="1"/>
        <v>0</v>
      </c>
      <c r="P605" s="13">
        <f ca="1"/>
        <v>0</v>
      </c>
    </row>
    <row r="606" spans="13:16">
      <c r="M606">
        <f t="shared" ca="1" si="30"/>
        <v>0</v>
      </c>
      <c r="N606" s="4" t="e">
        <f ca="1"/>
        <v>#VALUE!</v>
      </c>
      <c r="O606" s="4">
        <f ca="1"/>
        <v>0</v>
      </c>
      <c r="P606" s="13">
        <f ca="1"/>
        <v>0</v>
      </c>
    </row>
    <row r="607" spans="13:16">
      <c r="M607">
        <f t="shared" ca="1" si="30"/>
        <v>0</v>
      </c>
      <c r="N607" s="4" t="e">
        <f ca="1"/>
        <v>#VALUE!</v>
      </c>
      <c r="O607" s="4">
        <f ca="1"/>
        <v>0</v>
      </c>
      <c r="P607" s="13">
        <f ca="1"/>
        <v>0</v>
      </c>
    </row>
    <row r="608" spans="13:16">
      <c r="M608">
        <f t="shared" ca="1" si="30"/>
        <v>0</v>
      </c>
      <c r="N608" s="4" t="e">
        <f ca="1"/>
        <v>#VALUE!</v>
      </c>
      <c r="O608" s="4">
        <f ca="1"/>
        <v>0</v>
      </c>
      <c r="P608" s="13">
        <f ca="1"/>
        <v>0</v>
      </c>
    </row>
    <row r="609" spans="13:16">
      <c r="M609">
        <f t="shared" ca="1" si="30"/>
        <v>0</v>
      </c>
      <c r="N609" s="4" t="e">
        <f ca="1"/>
        <v>#VALUE!</v>
      </c>
      <c r="O609" s="4">
        <f ca="1"/>
        <v>0</v>
      </c>
      <c r="P609" s="13">
        <f ca="1"/>
        <v>0</v>
      </c>
    </row>
    <row r="610" spans="13:16">
      <c r="M610">
        <f t="shared" ca="1" si="30"/>
        <v>0</v>
      </c>
      <c r="N610" s="4" t="e">
        <f ca="1"/>
        <v>#VALUE!</v>
      </c>
      <c r="O610" s="4">
        <f ca="1"/>
        <v>0</v>
      </c>
      <c r="P610" s="13">
        <f ca="1"/>
        <v>0</v>
      </c>
    </row>
    <row r="611" spans="13:16">
      <c r="M611">
        <f t="shared" ca="1" si="30"/>
        <v>0</v>
      </c>
      <c r="N611" s="4" t="e">
        <f ca="1"/>
        <v>#VALUE!</v>
      </c>
      <c r="O611" s="4">
        <f ca="1"/>
        <v>0</v>
      </c>
      <c r="P611" s="13">
        <f ca="1"/>
        <v>0</v>
      </c>
    </row>
    <row r="612" spans="13:16">
      <c r="M612">
        <f t="shared" ca="1" si="30"/>
        <v>0</v>
      </c>
      <c r="N612" s="4" t="e">
        <f ca="1"/>
        <v>#VALUE!</v>
      </c>
      <c r="O612" s="4">
        <f ca="1"/>
        <v>0</v>
      </c>
      <c r="P612" s="13">
        <f ca="1"/>
        <v>0</v>
      </c>
    </row>
    <row r="613" spans="13:16">
      <c r="M613">
        <f t="shared" ca="1" si="30"/>
        <v>0</v>
      </c>
      <c r="N613" s="4" t="e">
        <f ca="1"/>
        <v>#VALUE!</v>
      </c>
      <c r="O613" s="4">
        <f ca="1"/>
        <v>0</v>
      </c>
      <c r="P613" s="13">
        <f ca="1"/>
        <v>0</v>
      </c>
    </row>
    <row r="614" spans="13:16">
      <c r="M614">
        <f t="shared" ca="1" si="30"/>
        <v>0</v>
      </c>
      <c r="N614" s="4" t="e">
        <f ca="1"/>
        <v>#VALUE!</v>
      </c>
      <c r="O614" s="4">
        <f ca="1"/>
        <v>0</v>
      </c>
      <c r="P614" s="13">
        <f ca="1"/>
        <v>0</v>
      </c>
    </row>
    <row r="615" spans="13:16">
      <c r="M615">
        <f t="shared" ca="1" si="30"/>
        <v>0</v>
      </c>
      <c r="N615" s="4" t="e">
        <f ca="1"/>
        <v>#VALUE!</v>
      </c>
      <c r="O615" s="4">
        <f ca="1"/>
        <v>0</v>
      </c>
      <c r="P615" s="13">
        <f ca="1"/>
        <v>0</v>
      </c>
    </row>
    <row r="616" spans="13:16">
      <c r="M616">
        <f t="shared" ca="1" si="30"/>
        <v>0</v>
      </c>
      <c r="N616" s="4" t="e">
        <f ca="1"/>
        <v>#VALUE!</v>
      </c>
      <c r="O616" s="4">
        <f ca="1"/>
        <v>0</v>
      </c>
      <c r="P616" s="13">
        <f ca="1"/>
        <v>0</v>
      </c>
    </row>
    <row r="617" spans="13:16">
      <c r="M617">
        <f t="shared" ca="1" si="30"/>
        <v>0</v>
      </c>
      <c r="N617" s="4" t="e">
        <f ca="1"/>
        <v>#VALUE!</v>
      </c>
      <c r="O617" s="4">
        <f ca="1"/>
        <v>0</v>
      </c>
      <c r="P617" s="13">
        <f ca="1"/>
        <v>0</v>
      </c>
    </row>
    <row r="618" spans="13:16">
      <c r="M618">
        <f t="shared" ca="1" si="30"/>
        <v>0</v>
      </c>
      <c r="N618" s="4" t="e">
        <f ca="1"/>
        <v>#VALUE!</v>
      </c>
      <c r="O618" s="4">
        <f ca="1"/>
        <v>0</v>
      </c>
      <c r="P618" s="13">
        <f ca="1"/>
        <v>0</v>
      </c>
    </row>
    <row r="619" spans="13:16">
      <c r="M619">
        <f t="shared" ca="1" si="30"/>
        <v>0</v>
      </c>
      <c r="N619" s="4" t="e">
        <f ca="1"/>
        <v>#VALUE!</v>
      </c>
      <c r="O619" s="4">
        <f ca="1"/>
        <v>0</v>
      </c>
      <c r="P619" s="13">
        <f ca="1"/>
        <v>0</v>
      </c>
    </row>
    <row r="620" spans="13:16">
      <c r="M620">
        <f t="shared" ca="1" si="30"/>
        <v>0</v>
      </c>
      <c r="N620" s="4" t="e">
        <f ca="1"/>
        <v>#VALUE!</v>
      </c>
      <c r="O620" s="4">
        <f ca="1"/>
        <v>0</v>
      </c>
      <c r="P620" s="13">
        <f ca="1"/>
        <v>0</v>
      </c>
    </row>
    <row r="621" spans="13:16">
      <c r="M621">
        <f t="shared" ca="1" si="30"/>
        <v>0</v>
      </c>
      <c r="N621" s="4" t="e">
        <f ca="1"/>
        <v>#VALUE!</v>
      </c>
      <c r="O621" s="4">
        <f ca="1"/>
        <v>0</v>
      </c>
      <c r="P621" s="13">
        <f ca="1"/>
        <v>0</v>
      </c>
    </row>
    <row r="622" spans="13:16">
      <c r="M622">
        <f t="shared" ca="1" si="30"/>
        <v>0</v>
      </c>
      <c r="N622" s="4" t="e">
        <f ca="1"/>
        <v>#VALUE!</v>
      </c>
      <c r="O622" s="4">
        <f ca="1"/>
        <v>0</v>
      </c>
      <c r="P622" s="13">
        <f ca="1"/>
        <v>0</v>
      </c>
    </row>
    <row r="623" spans="13:16">
      <c r="M623">
        <f t="shared" ca="1" si="30"/>
        <v>0</v>
      </c>
      <c r="N623" s="4" t="e">
        <f ca="1"/>
        <v>#VALUE!</v>
      </c>
      <c r="O623" s="4">
        <f ca="1"/>
        <v>0</v>
      </c>
      <c r="P623" s="13">
        <f ca="1"/>
        <v>0</v>
      </c>
    </row>
    <row r="624" spans="13:16">
      <c r="M624">
        <f t="shared" ca="1" si="30"/>
        <v>0</v>
      </c>
      <c r="N624" s="4" t="e">
        <f ca="1"/>
        <v>#VALUE!</v>
      </c>
      <c r="O624" s="4">
        <f ca="1"/>
        <v>0</v>
      </c>
      <c r="P624" s="13">
        <f ca="1"/>
        <v>0</v>
      </c>
    </row>
    <row r="625" spans="13:16">
      <c r="M625">
        <f t="shared" ca="1" si="30"/>
        <v>0</v>
      </c>
      <c r="N625" s="4" t="e">
        <f ca="1"/>
        <v>#VALUE!</v>
      </c>
      <c r="O625" s="4">
        <f ca="1"/>
        <v>0</v>
      </c>
      <c r="P625" s="13">
        <f ca="1"/>
        <v>0</v>
      </c>
    </row>
    <row r="626" spans="13:16">
      <c r="M626">
        <f t="shared" ca="1" si="30"/>
        <v>0</v>
      </c>
      <c r="N626" s="4" t="e">
        <f ca="1"/>
        <v>#VALUE!</v>
      </c>
      <c r="O626" s="4">
        <f ca="1"/>
        <v>0</v>
      </c>
      <c r="P626" s="13">
        <f ca="1"/>
        <v>0</v>
      </c>
    </row>
    <row r="627" spans="13:16">
      <c r="M627">
        <f t="shared" ca="1" si="30"/>
        <v>0</v>
      </c>
      <c r="N627" s="4" t="e">
        <f ca="1"/>
        <v>#VALUE!</v>
      </c>
      <c r="O627" s="4">
        <f ca="1"/>
        <v>0</v>
      </c>
      <c r="P627" s="13">
        <f ca="1"/>
        <v>0</v>
      </c>
    </row>
    <row r="628" spans="13:16">
      <c r="M628">
        <f t="shared" ca="1" si="30"/>
        <v>0</v>
      </c>
      <c r="N628" s="4" t="e">
        <f ca="1"/>
        <v>#VALUE!</v>
      </c>
      <c r="O628" s="4">
        <f ca="1"/>
        <v>0</v>
      </c>
      <c r="P628" s="13">
        <f ca="1"/>
        <v>0</v>
      </c>
    </row>
    <row r="629" spans="13:16">
      <c r="M629">
        <f t="shared" ca="1" si="30"/>
        <v>0</v>
      </c>
      <c r="N629" s="4" t="e">
        <f ca="1"/>
        <v>#VALUE!</v>
      </c>
      <c r="O629" s="4">
        <f ca="1"/>
        <v>0</v>
      </c>
      <c r="P629" s="13">
        <f ca="1"/>
        <v>0</v>
      </c>
    </row>
    <row r="630" spans="13:16">
      <c r="M630">
        <f t="shared" ca="1" si="30"/>
        <v>0</v>
      </c>
      <c r="N630" s="4" t="e">
        <f ca="1"/>
        <v>#VALUE!</v>
      </c>
      <c r="O630" s="4">
        <f ca="1"/>
        <v>0</v>
      </c>
      <c r="P630" s="13">
        <f ca="1"/>
        <v>0</v>
      </c>
    </row>
    <row r="631" spans="13:16">
      <c r="M631">
        <f t="shared" ca="1" si="30"/>
        <v>0</v>
      </c>
      <c r="N631" s="4" t="e">
        <f ca="1"/>
        <v>#VALUE!</v>
      </c>
      <c r="O631" s="4">
        <f ca="1"/>
        <v>0</v>
      </c>
      <c r="P631" s="13">
        <f ca="1"/>
        <v>0</v>
      </c>
    </row>
    <row r="632" spans="13:16">
      <c r="M632">
        <f t="shared" ca="1" si="30"/>
        <v>0</v>
      </c>
      <c r="N632" s="4" t="e">
        <f ca="1"/>
        <v>#VALUE!</v>
      </c>
      <c r="O632" s="4">
        <f ca="1"/>
        <v>0</v>
      </c>
      <c r="P632" s="13">
        <f ca="1"/>
        <v>0</v>
      </c>
    </row>
    <row r="633" spans="13:16">
      <c r="M633">
        <f t="shared" ca="1" si="30"/>
        <v>0</v>
      </c>
      <c r="N633" s="4" t="e">
        <f ca="1"/>
        <v>#VALUE!</v>
      </c>
      <c r="O633" s="4">
        <f ca="1"/>
        <v>0</v>
      </c>
      <c r="P633" s="13">
        <f ca="1"/>
        <v>0</v>
      </c>
    </row>
    <row r="634" spans="13:16">
      <c r="M634">
        <f t="shared" ca="1" si="30"/>
        <v>0</v>
      </c>
      <c r="N634" s="4" t="e">
        <f ca="1"/>
        <v>#VALUE!</v>
      </c>
      <c r="O634" s="4">
        <f ca="1"/>
        <v>0</v>
      </c>
      <c r="P634" s="13">
        <f ca="1"/>
        <v>0</v>
      </c>
    </row>
    <row r="635" spans="13:16">
      <c r="M635">
        <f t="shared" ca="1" si="30"/>
        <v>0</v>
      </c>
      <c r="N635" s="4" t="e">
        <f ca="1"/>
        <v>#VALUE!</v>
      </c>
      <c r="O635" s="4">
        <f ca="1"/>
        <v>0</v>
      </c>
      <c r="P635" s="13">
        <f ca="1"/>
        <v>0</v>
      </c>
    </row>
    <row r="636" spans="13:16">
      <c r="M636">
        <f t="shared" ca="1" si="30"/>
        <v>0</v>
      </c>
      <c r="N636" s="4" t="e">
        <f ca="1"/>
        <v>#VALUE!</v>
      </c>
      <c r="O636" s="4">
        <f ca="1"/>
        <v>0</v>
      </c>
      <c r="P636" s="13">
        <f ca="1"/>
        <v>0</v>
      </c>
    </row>
    <row r="637" spans="13:16">
      <c r="M637">
        <f t="shared" ca="1" si="30"/>
        <v>0</v>
      </c>
      <c r="N637" s="4" t="e">
        <f ca="1"/>
        <v>#VALUE!</v>
      </c>
      <c r="O637" s="4">
        <f ca="1"/>
        <v>0</v>
      </c>
      <c r="P637" s="13">
        <f ca="1"/>
        <v>0</v>
      </c>
    </row>
    <row r="638" spans="13:16">
      <c r="M638">
        <f t="shared" ca="1" si="30"/>
        <v>0</v>
      </c>
      <c r="N638" s="4" t="e">
        <f ca="1"/>
        <v>#VALUE!</v>
      </c>
      <c r="O638" s="4">
        <f ca="1"/>
        <v>0</v>
      </c>
      <c r="P638" s="13">
        <f ca="1"/>
        <v>0</v>
      </c>
    </row>
    <row r="639" spans="13:16">
      <c r="M639">
        <f t="shared" ca="1" si="30"/>
        <v>0</v>
      </c>
      <c r="N639" s="4" t="e">
        <f ca="1"/>
        <v>#VALUE!</v>
      </c>
      <c r="O639" s="4">
        <f ca="1"/>
        <v>0</v>
      </c>
      <c r="P639" s="13">
        <f ca="1"/>
        <v>0</v>
      </c>
    </row>
    <row r="640" spans="13:16">
      <c r="M640">
        <f t="shared" ca="1" si="30"/>
        <v>0</v>
      </c>
      <c r="N640" s="4" t="e">
        <f ca="1"/>
        <v>#VALUE!</v>
      </c>
      <c r="O640" s="4">
        <f ca="1"/>
        <v>0</v>
      </c>
      <c r="P640" s="13">
        <f ca="1"/>
        <v>0</v>
      </c>
    </row>
    <row r="641" spans="13:16">
      <c r="M641">
        <f t="shared" ca="1" si="30"/>
        <v>0</v>
      </c>
      <c r="N641" s="4" t="e">
        <f ca="1"/>
        <v>#VALUE!</v>
      </c>
      <c r="O641" s="4">
        <f ca="1"/>
        <v>0</v>
      </c>
      <c r="P641" s="13">
        <f ca="1"/>
        <v>0</v>
      </c>
    </row>
    <row r="642" spans="13:16">
      <c r="M642">
        <f t="shared" ca="1" si="30"/>
        <v>0</v>
      </c>
      <c r="N642" s="4" t="e">
        <f ca="1"/>
        <v>#VALUE!</v>
      </c>
      <c r="O642" s="4">
        <f ca="1"/>
        <v>0</v>
      </c>
      <c r="P642" s="13">
        <f ca="1"/>
        <v>0</v>
      </c>
    </row>
    <row r="643" spans="13:16">
      <c r="M643">
        <f t="shared" ca="1" si="30"/>
        <v>0</v>
      </c>
      <c r="N643" s="4" t="e">
        <f ca="1"/>
        <v>#VALUE!</v>
      </c>
      <c r="O643" s="4">
        <f ca="1"/>
        <v>0</v>
      </c>
      <c r="P643" s="13">
        <f ca="1"/>
        <v>0</v>
      </c>
    </row>
    <row r="644" spans="13:16">
      <c r="M644">
        <f t="shared" ca="1" si="30"/>
        <v>0</v>
      </c>
      <c r="N644" s="4" t="e">
        <f ca="1"/>
        <v>#VALUE!</v>
      </c>
      <c r="O644" s="4">
        <f ca="1"/>
        <v>0</v>
      </c>
      <c r="P644" s="13">
        <f ca="1"/>
        <v>0</v>
      </c>
    </row>
    <row r="645" spans="13:16">
      <c r="M645">
        <f t="shared" ca="1" si="30"/>
        <v>0</v>
      </c>
      <c r="N645" s="4" t="e">
        <f ca="1"/>
        <v>#VALUE!</v>
      </c>
      <c r="O645" s="4">
        <f ca="1"/>
        <v>0</v>
      </c>
      <c r="P645" s="13">
        <f ca="1"/>
        <v>0</v>
      </c>
    </row>
    <row r="646" spans="13:16">
      <c r="M646">
        <f t="shared" ref="M646:M709" ca="1" si="31">L646*$K$10</f>
        <v>0</v>
      </c>
      <c r="N646" s="4" t="e">
        <f ca="1"/>
        <v>#VALUE!</v>
      </c>
      <c r="O646" s="4">
        <f ca="1"/>
        <v>0</v>
      </c>
      <c r="P646" s="13">
        <f ca="1"/>
        <v>0</v>
      </c>
    </row>
    <row r="647" spans="13:16">
      <c r="M647">
        <f t="shared" ca="1" si="31"/>
        <v>0</v>
      </c>
      <c r="N647" s="4" t="e">
        <f ca="1"/>
        <v>#VALUE!</v>
      </c>
      <c r="O647" s="4">
        <f ca="1"/>
        <v>0</v>
      </c>
      <c r="P647" s="13">
        <f ca="1"/>
        <v>0</v>
      </c>
    </row>
    <row r="648" spans="13:16">
      <c r="M648">
        <f t="shared" ca="1" si="31"/>
        <v>0</v>
      </c>
      <c r="N648" s="4" t="e">
        <f ca="1"/>
        <v>#VALUE!</v>
      </c>
      <c r="O648" s="4">
        <f ca="1"/>
        <v>0</v>
      </c>
      <c r="P648" s="13">
        <f ca="1"/>
        <v>0</v>
      </c>
    </row>
    <row r="649" spans="13:16">
      <c r="M649">
        <f t="shared" ca="1" si="31"/>
        <v>0</v>
      </c>
      <c r="N649" s="4" t="e">
        <f ca="1"/>
        <v>#VALUE!</v>
      </c>
      <c r="O649" s="4">
        <f ca="1"/>
        <v>0</v>
      </c>
      <c r="P649" s="13">
        <f ca="1"/>
        <v>0</v>
      </c>
    </row>
    <row r="650" spans="13:16">
      <c r="M650">
        <f t="shared" ca="1" si="31"/>
        <v>0</v>
      </c>
      <c r="N650" s="4" t="e">
        <f ca="1"/>
        <v>#VALUE!</v>
      </c>
      <c r="O650" s="4">
        <f ca="1"/>
        <v>0</v>
      </c>
      <c r="P650" s="13">
        <f ca="1"/>
        <v>0</v>
      </c>
    </row>
    <row r="651" spans="13:16">
      <c r="M651">
        <f t="shared" ca="1" si="31"/>
        <v>0</v>
      </c>
      <c r="N651" s="4" t="e">
        <f ca="1"/>
        <v>#VALUE!</v>
      </c>
      <c r="O651" s="4">
        <f ca="1"/>
        <v>0</v>
      </c>
      <c r="P651" s="13">
        <f ca="1"/>
        <v>0</v>
      </c>
    </row>
    <row r="652" spans="13:16">
      <c r="M652">
        <f t="shared" ca="1" si="31"/>
        <v>0</v>
      </c>
      <c r="N652" s="4" t="e">
        <f ca="1"/>
        <v>#VALUE!</v>
      </c>
      <c r="O652" s="4">
        <f ca="1"/>
        <v>0</v>
      </c>
      <c r="P652" s="13">
        <f ca="1"/>
        <v>0</v>
      </c>
    </row>
    <row r="653" spans="13:16">
      <c r="M653">
        <f t="shared" ca="1" si="31"/>
        <v>0</v>
      </c>
      <c r="N653" s="4" t="e">
        <f ca="1"/>
        <v>#VALUE!</v>
      </c>
      <c r="O653" s="4">
        <f ca="1"/>
        <v>0</v>
      </c>
      <c r="P653" s="13">
        <f ca="1"/>
        <v>0</v>
      </c>
    </row>
    <row r="654" spans="13:16">
      <c r="M654">
        <f t="shared" ca="1" si="31"/>
        <v>0</v>
      </c>
      <c r="N654" s="4" t="e">
        <f ca="1"/>
        <v>#VALUE!</v>
      </c>
      <c r="O654" s="4">
        <f ca="1"/>
        <v>0</v>
      </c>
      <c r="P654" s="13">
        <f ca="1"/>
        <v>0</v>
      </c>
    </row>
    <row r="655" spans="13:16">
      <c r="M655">
        <f t="shared" ca="1" si="31"/>
        <v>0</v>
      </c>
      <c r="N655" s="4" t="e">
        <f ca="1"/>
        <v>#VALUE!</v>
      </c>
      <c r="O655" s="4">
        <f ca="1"/>
        <v>0</v>
      </c>
      <c r="P655" s="13">
        <f ca="1"/>
        <v>0</v>
      </c>
    </row>
    <row r="656" spans="13:16">
      <c r="M656">
        <f t="shared" ca="1" si="31"/>
        <v>0</v>
      </c>
      <c r="N656" s="4" t="e">
        <f ca="1"/>
        <v>#VALUE!</v>
      </c>
      <c r="O656" s="4">
        <f ca="1"/>
        <v>0</v>
      </c>
      <c r="P656" s="13">
        <f ca="1"/>
        <v>0</v>
      </c>
    </row>
    <row r="657" spans="13:16">
      <c r="M657">
        <f t="shared" ca="1" si="31"/>
        <v>0</v>
      </c>
      <c r="N657" s="4" t="e">
        <f ca="1"/>
        <v>#VALUE!</v>
      </c>
      <c r="O657" s="4">
        <f ca="1"/>
        <v>0</v>
      </c>
      <c r="P657" s="13">
        <f ca="1"/>
        <v>0</v>
      </c>
    </row>
    <row r="658" spans="13:16">
      <c r="M658">
        <f t="shared" ca="1" si="31"/>
        <v>0</v>
      </c>
      <c r="N658" s="4" t="e">
        <f ca="1"/>
        <v>#VALUE!</v>
      </c>
      <c r="O658" s="4">
        <f ca="1"/>
        <v>0</v>
      </c>
      <c r="P658" s="13">
        <f ca="1"/>
        <v>0</v>
      </c>
    </row>
    <row r="659" spans="13:16">
      <c r="M659">
        <f t="shared" ca="1" si="31"/>
        <v>0</v>
      </c>
      <c r="N659" s="4" t="e">
        <f ca="1"/>
        <v>#VALUE!</v>
      </c>
      <c r="O659" s="4">
        <f ca="1"/>
        <v>0</v>
      </c>
      <c r="P659" s="13">
        <f ca="1"/>
        <v>0</v>
      </c>
    </row>
    <row r="660" spans="13:16">
      <c r="M660">
        <f t="shared" ca="1" si="31"/>
        <v>0</v>
      </c>
      <c r="N660" s="4" t="e">
        <f ca="1"/>
        <v>#VALUE!</v>
      </c>
      <c r="O660" s="4">
        <f ca="1"/>
        <v>0</v>
      </c>
      <c r="P660" s="13">
        <f ca="1"/>
        <v>0</v>
      </c>
    </row>
    <row r="661" spans="13:16">
      <c r="M661">
        <f t="shared" ca="1" si="31"/>
        <v>0</v>
      </c>
      <c r="N661" s="4" t="e">
        <f ca="1"/>
        <v>#VALUE!</v>
      </c>
      <c r="O661" s="4">
        <f ca="1"/>
        <v>0</v>
      </c>
      <c r="P661" s="13">
        <f ca="1"/>
        <v>0</v>
      </c>
    </row>
    <row r="662" spans="13:16">
      <c r="M662">
        <f t="shared" ca="1" si="31"/>
        <v>0</v>
      </c>
      <c r="N662" s="4" t="e">
        <f ca="1"/>
        <v>#VALUE!</v>
      </c>
      <c r="O662" s="4">
        <f ca="1"/>
        <v>0</v>
      </c>
      <c r="P662" s="13">
        <f ca="1"/>
        <v>0</v>
      </c>
    </row>
    <row r="663" spans="13:16">
      <c r="M663">
        <f t="shared" ca="1" si="31"/>
        <v>0</v>
      </c>
      <c r="N663" s="4" t="e">
        <f ca="1"/>
        <v>#VALUE!</v>
      </c>
      <c r="O663" s="4">
        <f ca="1"/>
        <v>0</v>
      </c>
      <c r="P663" s="13">
        <f ca="1"/>
        <v>0</v>
      </c>
    </row>
    <row r="664" spans="13:16">
      <c r="M664">
        <f t="shared" ca="1" si="31"/>
        <v>0</v>
      </c>
      <c r="N664" s="4" t="e">
        <f ca="1"/>
        <v>#VALUE!</v>
      </c>
      <c r="O664" s="4">
        <f ca="1"/>
        <v>0</v>
      </c>
      <c r="P664" s="13">
        <f ca="1"/>
        <v>0</v>
      </c>
    </row>
    <row r="665" spans="13:16">
      <c r="M665">
        <f t="shared" ca="1" si="31"/>
        <v>0</v>
      </c>
      <c r="N665" s="4" t="e">
        <f ca="1"/>
        <v>#VALUE!</v>
      </c>
      <c r="O665" s="4">
        <f ca="1"/>
        <v>0</v>
      </c>
      <c r="P665" s="13">
        <f ca="1"/>
        <v>0</v>
      </c>
    </row>
    <row r="666" spans="13:16">
      <c r="M666">
        <f t="shared" ca="1" si="31"/>
        <v>0</v>
      </c>
      <c r="N666" s="4" t="e">
        <f ca="1"/>
        <v>#VALUE!</v>
      </c>
      <c r="O666" s="4">
        <f ca="1"/>
        <v>0</v>
      </c>
      <c r="P666" s="13">
        <f ca="1"/>
        <v>0</v>
      </c>
    </row>
    <row r="667" spans="13:16">
      <c r="M667">
        <f t="shared" ca="1" si="31"/>
        <v>0</v>
      </c>
      <c r="N667" s="4" t="e">
        <f ca="1"/>
        <v>#VALUE!</v>
      </c>
      <c r="O667" s="4">
        <f ca="1"/>
        <v>0</v>
      </c>
      <c r="P667" s="13">
        <f ca="1"/>
        <v>0</v>
      </c>
    </row>
    <row r="668" spans="13:16">
      <c r="M668">
        <f t="shared" ca="1" si="31"/>
        <v>0</v>
      </c>
      <c r="N668" s="4" t="e">
        <f ca="1"/>
        <v>#VALUE!</v>
      </c>
      <c r="O668" s="4">
        <f ca="1"/>
        <v>0</v>
      </c>
      <c r="P668" s="13">
        <f ca="1"/>
        <v>0</v>
      </c>
    </row>
    <row r="669" spans="13:16">
      <c r="M669">
        <f t="shared" ca="1" si="31"/>
        <v>0</v>
      </c>
      <c r="N669" s="4" t="e">
        <f ca="1"/>
        <v>#VALUE!</v>
      </c>
      <c r="O669" s="4">
        <f ca="1"/>
        <v>0</v>
      </c>
      <c r="P669" s="13">
        <f ca="1"/>
        <v>0</v>
      </c>
    </row>
    <row r="670" spans="13:16">
      <c r="M670">
        <f t="shared" ca="1" si="31"/>
        <v>0</v>
      </c>
      <c r="N670" s="4" t="e">
        <f ca="1"/>
        <v>#VALUE!</v>
      </c>
      <c r="O670" s="4">
        <f ca="1"/>
        <v>0</v>
      </c>
      <c r="P670" s="13">
        <f ca="1"/>
        <v>0</v>
      </c>
    </row>
    <row r="671" spans="13:16">
      <c r="M671">
        <f t="shared" ca="1" si="31"/>
        <v>0</v>
      </c>
      <c r="N671" s="4" t="e">
        <f ca="1"/>
        <v>#VALUE!</v>
      </c>
      <c r="O671" s="4">
        <f ca="1"/>
        <v>0</v>
      </c>
      <c r="P671" s="13">
        <f ca="1"/>
        <v>0</v>
      </c>
    </row>
    <row r="672" spans="13:16">
      <c r="M672">
        <f t="shared" ca="1" si="31"/>
        <v>0</v>
      </c>
      <c r="N672" s="4" t="e">
        <f ca="1"/>
        <v>#VALUE!</v>
      </c>
      <c r="O672" s="4">
        <f ca="1"/>
        <v>0</v>
      </c>
      <c r="P672" s="13">
        <f ca="1"/>
        <v>0</v>
      </c>
    </row>
    <row r="673" spans="13:16">
      <c r="M673">
        <f t="shared" ca="1" si="31"/>
        <v>0</v>
      </c>
      <c r="N673" s="4" t="e">
        <f ca="1"/>
        <v>#VALUE!</v>
      </c>
      <c r="O673" s="4">
        <f ca="1"/>
        <v>0</v>
      </c>
      <c r="P673" s="13">
        <f ca="1"/>
        <v>0</v>
      </c>
    </row>
    <row r="674" spans="13:16">
      <c r="M674">
        <f t="shared" ca="1" si="31"/>
        <v>0</v>
      </c>
      <c r="N674" s="4" t="e">
        <f ca="1"/>
        <v>#VALUE!</v>
      </c>
      <c r="O674" s="4">
        <f ca="1"/>
        <v>0</v>
      </c>
      <c r="P674" s="13">
        <f ca="1"/>
        <v>0</v>
      </c>
    </row>
    <row r="675" spans="13:16">
      <c r="M675">
        <f t="shared" ca="1" si="31"/>
        <v>0</v>
      </c>
      <c r="N675" s="4" t="e">
        <f ca="1"/>
        <v>#VALUE!</v>
      </c>
      <c r="O675" s="4">
        <f ca="1"/>
        <v>0</v>
      </c>
      <c r="P675" s="13">
        <f ca="1"/>
        <v>0</v>
      </c>
    </row>
    <row r="676" spans="13:16">
      <c r="M676">
        <f t="shared" ca="1" si="31"/>
        <v>0</v>
      </c>
      <c r="N676" s="4" t="e">
        <f ca="1"/>
        <v>#VALUE!</v>
      </c>
      <c r="O676" s="4">
        <f ca="1"/>
        <v>0</v>
      </c>
      <c r="P676" s="13">
        <f ca="1"/>
        <v>0</v>
      </c>
    </row>
    <row r="677" spans="13:16">
      <c r="M677">
        <f t="shared" ca="1" si="31"/>
        <v>0</v>
      </c>
      <c r="N677" s="4" t="e">
        <f ca="1"/>
        <v>#VALUE!</v>
      </c>
      <c r="O677" s="4">
        <f ca="1"/>
        <v>0</v>
      </c>
      <c r="P677" s="13">
        <f ca="1"/>
        <v>0</v>
      </c>
    </row>
    <row r="678" spans="13:16">
      <c r="M678">
        <f t="shared" ca="1" si="31"/>
        <v>0</v>
      </c>
      <c r="N678" s="4" t="e">
        <f ca="1"/>
        <v>#VALUE!</v>
      </c>
      <c r="O678" s="4">
        <f ca="1"/>
        <v>0</v>
      </c>
      <c r="P678" s="13">
        <f ca="1"/>
        <v>0</v>
      </c>
    </row>
    <row r="679" spans="13:16">
      <c r="M679">
        <f t="shared" ca="1" si="31"/>
        <v>0</v>
      </c>
      <c r="N679" s="4" t="e">
        <f ca="1"/>
        <v>#VALUE!</v>
      </c>
      <c r="O679" s="4">
        <f ca="1"/>
        <v>0</v>
      </c>
      <c r="P679" s="13">
        <f ca="1"/>
        <v>0</v>
      </c>
    </row>
    <row r="680" spans="13:16">
      <c r="M680">
        <f t="shared" ca="1" si="31"/>
        <v>0</v>
      </c>
      <c r="N680" s="4" t="e">
        <f ca="1"/>
        <v>#VALUE!</v>
      </c>
      <c r="O680" s="4">
        <f ca="1"/>
        <v>0</v>
      </c>
      <c r="P680" s="13">
        <f ca="1"/>
        <v>0</v>
      </c>
    </row>
    <row r="681" spans="13:16">
      <c r="M681">
        <f t="shared" ca="1" si="31"/>
        <v>0</v>
      </c>
      <c r="N681" s="4" t="e">
        <f ca="1"/>
        <v>#VALUE!</v>
      </c>
      <c r="O681" s="4">
        <f ca="1"/>
        <v>0</v>
      </c>
      <c r="P681" s="13">
        <f ca="1"/>
        <v>0</v>
      </c>
    </row>
    <row r="682" spans="13:16">
      <c r="M682">
        <f t="shared" ca="1" si="31"/>
        <v>0</v>
      </c>
      <c r="N682" s="4" t="e">
        <f ca="1"/>
        <v>#VALUE!</v>
      </c>
      <c r="O682" s="4">
        <f ca="1"/>
        <v>0</v>
      </c>
      <c r="P682" s="13">
        <f ca="1"/>
        <v>0</v>
      </c>
    </row>
    <row r="683" spans="13:16">
      <c r="M683">
        <f t="shared" ca="1" si="31"/>
        <v>0</v>
      </c>
      <c r="N683" s="4" t="e">
        <f ca="1"/>
        <v>#VALUE!</v>
      </c>
      <c r="O683" s="4">
        <f ca="1"/>
        <v>0</v>
      </c>
      <c r="P683" s="13">
        <f ca="1"/>
        <v>0</v>
      </c>
    </row>
    <row r="684" spans="13:16">
      <c r="M684">
        <f t="shared" ca="1" si="31"/>
        <v>0</v>
      </c>
      <c r="N684" s="4" t="e">
        <f ca="1"/>
        <v>#VALUE!</v>
      </c>
      <c r="O684" s="4">
        <f ca="1"/>
        <v>0</v>
      </c>
      <c r="P684" s="13">
        <f ca="1"/>
        <v>0</v>
      </c>
    </row>
    <row r="685" spans="13:16">
      <c r="M685">
        <f t="shared" ca="1" si="31"/>
        <v>0</v>
      </c>
      <c r="N685" s="4" t="e">
        <f ca="1"/>
        <v>#VALUE!</v>
      </c>
      <c r="O685" s="4">
        <f ca="1"/>
        <v>0</v>
      </c>
      <c r="P685" s="13">
        <f ca="1"/>
        <v>0</v>
      </c>
    </row>
    <row r="686" spans="13:16">
      <c r="M686">
        <f t="shared" ca="1" si="31"/>
        <v>0</v>
      </c>
      <c r="N686" s="4" t="e">
        <f ca="1"/>
        <v>#VALUE!</v>
      </c>
      <c r="O686" s="4">
        <f ca="1"/>
        <v>0</v>
      </c>
      <c r="P686" s="13">
        <f ca="1"/>
        <v>0</v>
      </c>
    </row>
    <row r="687" spans="13:16">
      <c r="M687">
        <f t="shared" ca="1" si="31"/>
        <v>0</v>
      </c>
      <c r="N687" s="4" t="e">
        <f ca="1"/>
        <v>#VALUE!</v>
      </c>
      <c r="O687" s="4">
        <f ca="1"/>
        <v>0</v>
      </c>
      <c r="P687" s="13">
        <f ca="1"/>
        <v>0</v>
      </c>
    </row>
    <row r="688" spans="13:16">
      <c r="M688">
        <f t="shared" ca="1" si="31"/>
        <v>0</v>
      </c>
      <c r="N688" s="4" t="e">
        <f ca="1"/>
        <v>#VALUE!</v>
      </c>
      <c r="O688" s="4">
        <f ca="1"/>
        <v>0</v>
      </c>
      <c r="P688" s="13">
        <f ca="1"/>
        <v>0</v>
      </c>
    </row>
    <row r="689" spans="13:16">
      <c r="M689">
        <f t="shared" ca="1" si="31"/>
        <v>0</v>
      </c>
      <c r="N689" s="4" t="e">
        <f ca="1"/>
        <v>#VALUE!</v>
      </c>
      <c r="O689" s="4">
        <f ca="1"/>
        <v>0</v>
      </c>
      <c r="P689" s="13">
        <f ca="1"/>
        <v>0</v>
      </c>
    </row>
    <row r="690" spans="13:16">
      <c r="M690">
        <f t="shared" ca="1" si="31"/>
        <v>0</v>
      </c>
      <c r="N690" s="4" t="e">
        <f ca="1"/>
        <v>#VALUE!</v>
      </c>
      <c r="O690" s="4">
        <f ca="1"/>
        <v>0</v>
      </c>
      <c r="P690" s="13">
        <f ca="1"/>
        <v>0</v>
      </c>
    </row>
    <row r="691" spans="13:16">
      <c r="M691">
        <f t="shared" ca="1" si="31"/>
        <v>0</v>
      </c>
      <c r="N691" s="4" t="e">
        <f ca="1"/>
        <v>#VALUE!</v>
      </c>
      <c r="O691" s="4">
        <f ca="1"/>
        <v>0</v>
      </c>
      <c r="P691" s="13">
        <f ca="1"/>
        <v>0</v>
      </c>
    </row>
    <row r="692" spans="13:16">
      <c r="M692">
        <f t="shared" ca="1" si="31"/>
        <v>0</v>
      </c>
      <c r="N692" s="4" t="e">
        <f ca="1"/>
        <v>#VALUE!</v>
      </c>
      <c r="O692" s="4">
        <f ca="1"/>
        <v>0</v>
      </c>
      <c r="P692" s="13">
        <f ca="1"/>
        <v>0</v>
      </c>
    </row>
    <row r="693" spans="13:16">
      <c r="M693">
        <f t="shared" ca="1" si="31"/>
        <v>0</v>
      </c>
      <c r="N693" s="4" t="e">
        <f ca="1"/>
        <v>#VALUE!</v>
      </c>
      <c r="O693" s="4">
        <f ca="1"/>
        <v>0</v>
      </c>
      <c r="P693" s="13">
        <f ca="1"/>
        <v>0</v>
      </c>
    </row>
    <row r="694" spans="13:16">
      <c r="M694">
        <f t="shared" ca="1" si="31"/>
        <v>0</v>
      </c>
      <c r="N694" s="4" t="e">
        <f ca="1"/>
        <v>#VALUE!</v>
      </c>
      <c r="O694" s="4">
        <f ca="1"/>
        <v>0</v>
      </c>
      <c r="P694" s="13">
        <f ca="1"/>
        <v>0</v>
      </c>
    </row>
    <row r="695" spans="13:16">
      <c r="M695">
        <f t="shared" ca="1" si="31"/>
        <v>0</v>
      </c>
      <c r="N695" s="4" t="e">
        <f ca="1"/>
        <v>#VALUE!</v>
      </c>
      <c r="O695" s="4">
        <f ca="1"/>
        <v>0</v>
      </c>
      <c r="P695" s="13">
        <f ca="1"/>
        <v>0</v>
      </c>
    </row>
    <row r="696" spans="13:16">
      <c r="M696">
        <f t="shared" ca="1" si="31"/>
        <v>0</v>
      </c>
      <c r="N696" s="4" t="e">
        <f ca="1"/>
        <v>#VALUE!</v>
      </c>
      <c r="O696" s="4">
        <f ca="1"/>
        <v>0</v>
      </c>
      <c r="P696" s="13">
        <f ca="1"/>
        <v>0</v>
      </c>
    </row>
    <row r="697" spans="13:16">
      <c r="M697">
        <f t="shared" ca="1" si="31"/>
        <v>0</v>
      </c>
      <c r="N697" s="4" t="e">
        <f ca="1"/>
        <v>#VALUE!</v>
      </c>
      <c r="O697" s="4">
        <f ca="1"/>
        <v>0</v>
      </c>
      <c r="P697" s="13">
        <f ca="1"/>
        <v>0</v>
      </c>
    </row>
    <row r="698" spans="13:16">
      <c r="M698">
        <f t="shared" ca="1" si="31"/>
        <v>0</v>
      </c>
      <c r="N698" s="4" t="e">
        <f ca="1"/>
        <v>#VALUE!</v>
      </c>
      <c r="O698" s="4">
        <f ca="1"/>
        <v>0</v>
      </c>
      <c r="P698" s="13">
        <f ca="1"/>
        <v>0</v>
      </c>
    </row>
    <row r="699" spans="13:16">
      <c r="M699">
        <f t="shared" ca="1" si="31"/>
        <v>0</v>
      </c>
      <c r="N699" s="4" t="e">
        <f ca="1"/>
        <v>#VALUE!</v>
      </c>
      <c r="O699" s="4">
        <f ca="1"/>
        <v>0</v>
      </c>
      <c r="P699" s="13">
        <f ca="1"/>
        <v>0</v>
      </c>
    </row>
    <row r="700" spans="13:16">
      <c r="M700">
        <f t="shared" ca="1" si="31"/>
        <v>0</v>
      </c>
      <c r="N700" s="4" t="e">
        <f ca="1"/>
        <v>#VALUE!</v>
      </c>
      <c r="O700" s="4">
        <f ca="1"/>
        <v>0</v>
      </c>
      <c r="P700" s="13">
        <f ca="1"/>
        <v>0</v>
      </c>
    </row>
    <row r="701" spans="13:16">
      <c r="M701">
        <f t="shared" ca="1" si="31"/>
        <v>0</v>
      </c>
      <c r="N701" s="4" t="e">
        <f ca="1"/>
        <v>#VALUE!</v>
      </c>
      <c r="O701" s="4">
        <f ca="1"/>
        <v>0</v>
      </c>
      <c r="P701" s="13">
        <f ca="1"/>
        <v>0</v>
      </c>
    </row>
    <row r="702" spans="13:16">
      <c r="M702">
        <f t="shared" ca="1" si="31"/>
        <v>0</v>
      </c>
      <c r="N702" s="4" t="e">
        <f ca="1"/>
        <v>#VALUE!</v>
      </c>
      <c r="O702" s="4">
        <f ca="1"/>
        <v>0</v>
      </c>
      <c r="P702" s="13">
        <f ca="1"/>
        <v>0</v>
      </c>
    </row>
    <row r="703" spans="13:16">
      <c r="M703">
        <f t="shared" ca="1" si="31"/>
        <v>0</v>
      </c>
      <c r="N703" s="4" t="e">
        <f ca="1"/>
        <v>#VALUE!</v>
      </c>
      <c r="O703" s="4">
        <f ca="1"/>
        <v>0</v>
      </c>
      <c r="P703" s="13">
        <f ca="1"/>
        <v>0</v>
      </c>
    </row>
    <row r="704" spans="13:16">
      <c r="M704">
        <f t="shared" ca="1" si="31"/>
        <v>0</v>
      </c>
      <c r="N704" s="4" t="e">
        <f ca="1"/>
        <v>#VALUE!</v>
      </c>
      <c r="O704" s="4">
        <f ca="1"/>
        <v>0</v>
      </c>
      <c r="P704" s="13">
        <f ca="1"/>
        <v>0</v>
      </c>
    </row>
    <row r="705" spans="13:16">
      <c r="M705">
        <f t="shared" ca="1" si="31"/>
        <v>0</v>
      </c>
      <c r="N705" s="4" t="e">
        <f ca="1"/>
        <v>#VALUE!</v>
      </c>
      <c r="O705" s="4">
        <f ca="1"/>
        <v>0</v>
      </c>
      <c r="P705" s="13">
        <f ca="1"/>
        <v>0</v>
      </c>
    </row>
    <row r="706" spans="13:16">
      <c r="M706">
        <f t="shared" ca="1" si="31"/>
        <v>0</v>
      </c>
      <c r="N706" s="4" t="e">
        <f ca="1"/>
        <v>#VALUE!</v>
      </c>
      <c r="O706" s="4">
        <f ca="1"/>
        <v>0</v>
      </c>
      <c r="P706" s="13">
        <f ca="1"/>
        <v>0</v>
      </c>
    </row>
    <row r="707" spans="13:16">
      <c r="M707">
        <f t="shared" ca="1" si="31"/>
        <v>0</v>
      </c>
      <c r="N707" s="4" t="e">
        <f ca="1"/>
        <v>#VALUE!</v>
      </c>
      <c r="O707" s="4">
        <f ca="1"/>
        <v>0</v>
      </c>
      <c r="P707" s="13">
        <f ca="1"/>
        <v>0</v>
      </c>
    </row>
    <row r="708" spans="13:16">
      <c r="M708">
        <f t="shared" ca="1" si="31"/>
        <v>0</v>
      </c>
      <c r="N708" s="4" t="e">
        <f ca="1"/>
        <v>#VALUE!</v>
      </c>
      <c r="O708" s="4">
        <f ca="1"/>
        <v>0</v>
      </c>
      <c r="P708" s="13">
        <f ca="1"/>
        <v>0</v>
      </c>
    </row>
    <row r="709" spans="13:16">
      <c r="M709">
        <f t="shared" ca="1" si="31"/>
        <v>0</v>
      </c>
      <c r="N709" s="4" t="e">
        <f ca="1"/>
        <v>#VALUE!</v>
      </c>
      <c r="O709" s="4">
        <f ca="1"/>
        <v>0</v>
      </c>
      <c r="P709" s="13">
        <f ca="1"/>
        <v>0</v>
      </c>
    </row>
    <row r="710" spans="13:16">
      <c r="M710">
        <f t="shared" ref="M710:M773" ca="1" si="32">L710*$K$10</f>
        <v>0</v>
      </c>
      <c r="N710" s="4" t="e">
        <f ca="1"/>
        <v>#VALUE!</v>
      </c>
      <c r="O710" s="4">
        <f ca="1"/>
        <v>0</v>
      </c>
      <c r="P710" s="13">
        <f ca="1"/>
        <v>0</v>
      </c>
    </row>
    <row r="711" spans="13:16">
      <c r="M711">
        <f t="shared" ca="1" si="32"/>
        <v>0</v>
      </c>
      <c r="N711" s="4" t="e">
        <f ca="1"/>
        <v>#VALUE!</v>
      </c>
      <c r="O711" s="4">
        <f ca="1"/>
        <v>0</v>
      </c>
      <c r="P711" s="13">
        <f ca="1"/>
        <v>0</v>
      </c>
    </row>
    <row r="712" spans="13:16">
      <c r="M712">
        <f t="shared" ca="1" si="32"/>
        <v>0</v>
      </c>
      <c r="N712" s="4" t="e">
        <f ca="1"/>
        <v>#VALUE!</v>
      </c>
      <c r="O712" s="4">
        <f ca="1"/>
        <v>0</v>
      </c>
      <c r="P712" s="13">
        <f ca="1"/>
        <v>0</v>
      </c>
    </row>
    <row r="713" spans="13:16">
      <c r="M713">
        <f t="shared" ca="1" si="32"/>
        <v>0</v>
      </c>
      <c r="N713" s="4" t="e">
        <f ca="1"/>
        <v>#VALUE!</v>
      </c>
      <c r="O713" s="4">
        <f ca="1"/>
        <v>0</v>
      </c>
      <c r="P713" s="13">
        <f ca="1"/>
        <v>0</v>
      </c>
    </row>
    <row r="714" spans="13:16">
      <c r="M714">
        <f t="shared" ca="1" si="32"/>
        <v>0</v>
      </c>
      <c r="N714" s="4" t="e">
        <f ca="1"/>
        <v>#VALUE!</v>
      </c>
      <c r="O714" s="4">
        <f ca="1"/>
        <v>0</v>
      </c>
      <c r="P714" s="13">
        <f ca="1"/>
        <v>0</v>
      </c>
    </row>
    <row r="715" spans="13:16">
      <c r="M715">
        <f t="shared" ca="1" si="32"/>
        <v>0</v>
      </c>
      <c r="N715" s="4" t="e">
        <f ca="1"/>
        <v>#VALUE!</v>
      </c>
      <c r="O715" s="4">
        <f ca="1"/>
        <v>0</v>
      </c>
      <c r="P715" s="13">
        <f ca="1"/>
        <v>0</v>
      </c>
    </row>
    <row r="716" spans="13:16">
      <c r="M716">
        <f t="shared" ca="1" si="32"/>
        <v>0</v>
      </c>
      <c r="N716" s="4" t="e">
        <f ca="1"/>
        <v>#VALUE!</v>
      </c>
      <c r="O716" s="4">
        <f ca="1"/>
        <v>0</v>
      </c>
      <c r="P716" s="13">
        <f ca="1"/>
        <v>0</v>
      </c>
    </row>
    <row r="717" spans="13:16">
      <c r="M717">
        <f t="shared" ca="1" si="32"/>
        <v>0</v>
      </c>
      <c r="N717" s="4" t="e">
        <f ca="1"/>
        <v>#VALUE!</v>
      </c>
      <c r="O717" s="4">
        <f ca="1"/>
        <v>0</v>
      </c>
      <c r="P717" s="13">
        <f ca="1"/>
        <v>0</v>
      </c>
    </row>
    <row r="718" spans="13:16">
      <c r="M718">
        <f t="shared" ca="1" si="32"/>
        <v>0</v>
      </c>
      <c r="N718" s="4" t="e">
        <f ca="1"/>
        <v>#VALUE!</v>
      </c>
      <c r="O718" s="4">
        <f ca="1"/>
        <v>0</v>
      </c>
      <c r="P718" s="13">
        <f ca="1"/>
        <v>0</v>
      </c>
    </row>
    <row r="719" spans="13:16">
      <c r="M719">
        <f t="shared" ca="1" si="32"/>
        <v>0</v>
      </c>
      <c r="N719" s="4" t="e">
        <f ca="1"/>
        <v>#VALUE!</v>
      </c>
      <c r="O719" s="4">
        <f ca="1"/>
        <v>0</v>
      </c>
      <c r="P719" s="13">
        <f ca="1"/>
        <v>0</v>
      </c>
    </row>
    <row r="720" spans="13:16">
      <c r="M720">
        <f t="shared" ca="1" si="32"/>
        <v>0</v>
      </c>
      <c r="N720" s="4" t="e">
        <f ca="1"/>
        <v>#VALUE!</v>
      </c>
      <c r="O720" s="4">
        <f ca="1"/>
        <v>0</v>
      </c>
      <c r="P720" s="13">
        <f ca="1"/>
        <v>0</v>
      </c>
    </row>
    <row r="721" spans="13:16">
      <c r="M721">
        <f t="shared" ca="1" si="32"/>
        <v>0</v>
      </c>
      <c r="N721" s="4" t="e">
        <f ca="1"/>
        <v>#VALUE!</v>
      </c>
      <c r="O721" s="4">
        <f ca="1"/>
        <v>0</v>
      </c>
      <c r="P721" s="13">
        <f ca="1"/>
        <v>0</v>
      </c>
    </row>
    <row r="722" spans="13:16">
      <c r="M722">
        <f t="shared" ca="1" si="32"/>
        <v>0</v>
      </c>
      <c r="N722" s="4" t="e">
        <f ca="1"/>
        <v>#VALUE!</v>
      </c>
      <c r="O722" s="4">
        <f ca="1"/>
        <v>0</v>
      </c>
      <c r="P722" s="13">
        <f ca="1"/>
        <v>0</v>
      </c>
    </row>
    <row r="723" spans="13:16">
      <c r="M723">
        <f t="shared" ca="1" si="32"/>
        <v>0</v>
      </c>
      <c r="N723" s="4" t="e">
        <f ca="1"/>
        <v>#VALUE!</v>
      </c>
      <c r="O723" s="4">
        <f ca="1"/>
        <v>0</v>
      </c>
      <c r="P723" s="13">
        <f ca="1"/>
        <v>0</v>
      </c>
    </row>
    <row r="724" spans="13:16">
      <c r="M724">
        <f t="shared" ca="1" si="32"/>
        <v>0</v>
      </c>
      <c r="N724" s="4" t="e">
        <f ca="1"/>
        <v>#VALUE!</v>
      </c>
      <c r="O724" s="4">
        <f ca="1"/>
        <v>0</v>
      </c>
      <c r="P724" s="13">
        <f ca="1"/>
        <v>0</v>
      </c>
    </row>
    <row r="725" spans="13:16">
      <c r="M725">
        <f t="shared" ca="1" si="32"/>
        <v>0</v>
      </c>
      <c r="N725" s="4" t="e">
        <f ca="1"/>
        <v>#VALUE!</v>
      </c>
      <c r="O725" s="4">
        <f ca="1"/>
        <v>0</v>
      </c>
      <c r="P725" s="13">
        <f ca="1"/>
        <v>0</v>
      </c>
    </row>
    <row r="726" spans="13:16">
      <c r="M726">
        <f t="shared" ca="1" si="32"/>
        <v>0</v>
      </c>
      <c r="N726" s="4" t="e">
        <f ca="1"/>
        <v>#VALUE!</v>
      </c>
      <c r="O726" s="4">
        <f ca="1"/>
        <v>0</v>
      </c>
      <c r="P726" s="13">
        <f ca="1"/>
        <v>0</v>
      </c>
    </row>
    <row r="727" spans="13:16">
      <c r="M727">
        <f t="shared" ca="1" si="32"/>
        <v>0</v>
      </c>
      <c r="N727" s="4" t="e">
        <f ca="1"/>
        <v>#VALUE!</v>
      </c>
      <c r="O727" s="4">
        <f ca="1"/>
        <v>0</v>
      </c>
      <c r="P727" s="13">
        <f ca="1"/>
        <v>0</v>
      </c>
    </row>
    <row r="728" spans="13:16">
      <c r="M728">
        <f t="shared" ca="1" si="32"/>
        <v>0</v>
      </c>
      <c r="N728" s="4" t="e">
        <f ca="1"/>
        <v>#VALUE!</v>
      </c>
      <c r="O728" s="4">
        <f ca="1"/>
        <v>0</v>
      </c>
      <c r="P728" s="13">
        <f ca="1"/>
        <v>0</v>
      </c>
    </row>
    <row r="729" spans="13:16">
      <c r="M729">
        <f t="shared" ca="1" si="32"/>
        <v>0</v>
      </c>
      <c r="N729" s="4" t="e">
        <f ca="1"/>
        <v>#VALUE!</v>
      </c>
      <c r="O729" s="4">
        <f ca="1"/>
        <v>0</v>
      </c>
      <c r="P729" s="13">
        <f ca="1"/>
        <v>0</v>
      </c>
    </row>
    <row r="730" spans="13:16">
      <c r="M730">
        <f t="shared" ca="1" si="32"/>
        <v>0</v>
      </c>
      <c r="N730" s="4" t="e">
        <f ca="1"/>
        <v>#VALUE!</v>
      </c>
      <c r="O730" s="4">
        <f ca="1"/>
        <v>0</v>
      </c>
      <c r="P730" s="13">
        <f ca="1"/>
        <v>0</v>
      </c>
    </row>
    <row r="731" spans="13:16">
      <c r="M731">
        <f t="shared" ca="1" si="32"/>
        <v>0</v>
      </c>
      <c r="N731" s="4" t="e">
        <f ca="1"/>
        <v>#VALUE!</v>
      </c>
      <c r="O731" s="4">
        <f ca="1"/>
        <v>0</v>
      </c>
      <c r="P731" s="13">
        <f ca="1"/>
        <v>0</v>
      </c>
    </row>
    <row r="732" spans="13:16">
      <c r="M732">
        <f t="shared" ca="1" si="32"/>
        <v>0</v>
      </c>
      <c r="N732" s="4" t="e">
        <f ca="1"/>
        <v>#VALUE!</v>
      </c>
      <c r="O732" s="4">
        <f ca="1"/>
        <v>0</v>
      </c>
      <c r="P732" s="13">
        <f ca="1"/>
        <v>0</v>
      </c>
    </row>
    <row r="733" spans="13:16">
      <c r="M733">
        <f t="shared" ca="1" si="32"/>
        <v>0</v>
      </c>
      <c r="N733" s="4" t="e">
        <f ca="1"/>
        <v>#VALUE!</v>
      </c>
      <c r="O733" s="4">
        <f ca="1"/>
        <v>0</v>
      </c>
      <c r="P733" s="13">
        <f ca="1"/>
        <v>0</v>
      </c>
    </row>
    <row r="734" spans="13:16">
      <c r="M734">
        <f t="shared" ca="1" si="32"/>
        <v>0</v>
      </c>
      <c r="N734" s="4" t="e">
        <f ca="1"/>
        <v>#VALUE!</v>
      </c>
      <c r="O734" s="4">
        <f ca="1"/>
        <v>0</v>
      </c>
      <c r="P734" s="13">
        <f ca="1"/>
        <v>0</v>
      </c>
    </row>
    <row r="735" spans="13:16">
      <c r="M735">
        <f t="shared" ca="1" si="32"/>
        <v>0</v>
      </c>
      <c r="N735" s="4" t="e">
        <f ca="1"/>
        <v>#VALUE!</v>
      </c>
      <c r="O735" s="4">
        <f ca="1"/>
        <v>0</v>
      </c>
      <c r="P735" s="13">
        <f ca="1"/>
        <v>0</v>
      </c>
    </row>
    <row r="736" spans="13:16">
      <c r="M736">
        <f t="shared" ca="1" si="32"/>
        <v>0</v>
      </c>
      <c r="N736" s="4" t="e">
        <f ca="1"/>
        <v>#VALUE!</v>
      </c>
      <c r="O736" s="4">
        <f ca="1"/>
        <v>0</v>
      </c>
      <c r="P736" s="13">
        <f ca="1"/>
        <v>0</v>
      </c>
    </row>
    <row r="737" spans="13:16">
      <c r="M737">
        <f t="shared" ca="1" si="32"/>
        <v>0</v>
      </c>
      <c r="N737" s="4" t="e">
        <f ca="1"/>
        <v>#VALUE!</v>
      </c>
      <c r="O737" s="4">
        <f ca="1"/>
        <v>0</v>
      </c>
      <c r="P737" s="13">
        <f ca="1"/>
        <v>0</v>
      </c>
    </row>
    <row r="738" spans="13:16">
      <c r="M738">
        <f t="shared" ca="1" si="32"/>
        <v>0</v>
      </c>
      <c r="N738" s="4" t="e">
        <f ca="1"/>
        <v>#VALUE!</v>
      </c>
      <c r="O738" s="4">
        <f ca="1"/>
        <v>0</v>
      </c>
      <c r="P738" s="13">
        <f ca="1"/>
        <v>0</v>
      </c>
    </row>
    <row r="739" spans="13:16">
      <c r="M739">
        <f t="shared" ca="1" si="32"/>
        <v>0</v>
      </c>
      <c r="N739" s="4" t="e">
        <f ca="1"/>
        <v>#VALUE!</v>
      </c>
      <c r="O739" s="4">
        <f ca="1"/>
        <v>0</v>
      </c>
      <c r="P739" s="13">
        <f ca="1"/>
        <v>0</v>
      </c>
    </row>
    <row r="740" spans="13:16">
      <c r="M740">
        <f t="shared" ca="1" si="32"/>
        <v>0</v>
      </c>
      <c r="N740" s="4" t="e">
        <f ca="1"/>
        <v>#VALUE!</v>
      </c>
      <c r="O740" s="4">
        <f ca="1"/>
        <v>0</v>
      </c>
      <c r="P740" s="13">
        <f ca="1"/>
        <v>0</v>
      </c>
    </row>
    <row r="741" spans="13:16">
      <c r="M741">
        <f t="shared" ca="1" si="32"/>
        <v>0</v>
      </c>
      <c r="N741" s="4" t="e">
        <f ca="1"/>
        <v>#VALUE!</v>
      </c>
      <c r="O741" s="4">
        <f ca="1"/>
        <v>0</v>
      </c>
      <c r="P741" s="13">
        <f ca="1"/>
        <v>0</v>
      </c>
    </row>
    <row r="742" spans="13:16">
      <c r="M742">
        <f t="shared" ca="1" si="32"/>
        <v>0</v>
      </c>
      <c r="N742" s="4" t="e">
        <f ca="1"/>
        <v>#VALUE!</v>
      </c>
      <c r="O742" s="4">
        <f ca="1"/>
        <v>0</v>
      </c>
      <c r="P742" s="13">
        <f ca="1"/>
        <v>0</v>
      </c>
    </row>
    <row r="743" spans="13:16">
      <c r="M743">
        <f t="shared" ca="1" si="32"/>
        <v>0</v>
      </c>
      <c r="N743" s="4" t="e">
        <f ca="1"/>
        <v>#VALUE!</v>
      </c>
      <c r="O743" s="4">
        <f ca="1"/>
        <v>0</v>
      </c>
      <c r="P743" s="13">
        <f ca="1"/>
        <v>0</v>
      </c>
    </row>
    <row r="744" spans="13:16">
      <c r="M744">
        <f t="shared" ca="1" si="32"/>
        <v>0</v>
      </c>
      <c r="N744" s="4" t="e">
        <f ca="1"/>
        <v>#VALUE!</v>
      </c>
      <c r="O744" s="4">
        <f ca="1"/>
        <v>0</v>
      </c>
      <c r="P744" s="13">
        <f ca="1"/>
        <v>0</v>
      </c>
    </row>
    <row r="745" spans="13:16">
      <c r="M745">
        <f t="shared" ca="1" si="32"/>
        <v>0</v>
      </c>
      <c r="N745" s="4" t="e">
        <f ca="1"/>
        <v>#VALUE!</v>
      </c>
      <c r="O745" s="4">
        <f ca="1"/>
        <v>0</v>
      </c>
      <c r="P745" s="13">
        <f ca="1"/>
        <v>0</v>
      </c>
    </row>
    <row r="746" spans="13:16">
      <c r="M746">
        <f t="shared" ca="1" si="32"/>
        <v>0</v>
      </c>
      <c r="N746" s="4" t="e">
        <f ca="1"/>
        <v>#VALUE!</v>
      </c>
      <c r="O746" s="4">
        <f ca="1"/>
        <v>0</v>
      </c>
      <c r="P746" s="13">
        <f ca="1"/>
        <v>0</v>
      </c>
    </row>
    <row r="747" spans="13:16">
      <c r="M747">
        <f t="shared" ca="1" si="32"/>
        <v>0</v>
      </c>
      <c r="N747" s="4" t="e">
        <f ca="1"/>
        <v>#VALUE!</v>
      </c>
      <c r="O747" s="4">
        <f ca="1"/>
        <v>0</v>
      </c>
      <c r="P747" s="13">
        <f ca="1"/>
        <v>0</v>
      </c>
    </row>
    <row r="748" spans="13:16">
      <c r="M748">
        <f t="shared" ca="1" si="32"/>
        <v>0</v>
      </c>
      <c r="N748" s="4" t="e">
        <f ca="1"/>
        <v>#VALUE!</v>
      </c>
      <c r="O748" s="4">
        <f ca="1"/>
        <v>0</v>
      </c>
      <c r="P748" s="13">
        <f ca="1"/>
        <v>0</v>
      </c>
    </row>
    <row r="749" spans="13:16">
      <c r="M749">
        <f t="shared" ca="1" si="32"/>
        <v>0</v>
      </c>
      <c r="N749" s="4" t="e">
        <f ca="1"/>
        <v>#VALUE!</v>
      </c>
      <c r="O749" s="4">
        <f ca="1"/>
        <v>0</v>
      </c>
      <c r="P749" s="13">
        <f ca="1"/>
        <v>0</v>
      </c>
    </row>
    <row r="750" spans="13:16">
      <c r="M750">
        <f t="shared" ca="1" si="32"/>
        <v>0</v>
      </c>
      <c r="N750" s="4" t="e">
        <f ca="1"/>
        <v>#VALUE!</v>
      </c>
      <c r="O750" s="4">
        <f ca="1"/>
        <v>0</v>
      </c>
      <c r="P750" s="13">
        <f ca="1"/>
        <v>0</v>
      </c>
    </row>
    <row r="751" spans="13:16">
      <c r="M751">
        <f t="shared" ca="1" si="32"/>
        <v>0</v>
      </c>
      <c r="N751" s="4" t="e">
        <f ca="1"/>
        <v>#VALUE!</v>
      </c>
      <c r="O751" s="4">
        <f ca="1"/>
        <v>0</v>
      </c>
      <c r="P751" s="13">
        <f ca="1"/>
        <v>0</v>
      </c>
    </row>
    <row r="752" spans="13:16">
      <c r="M752">
        <f t="shared" ca="1" si="32"/>
        <v>0</v>
      </c>
      <c r="N752" s="4" t="e">
        <f ca="1"/>
        <v>#VALUE!</v>
      </c>
      <c r="O752" s="4">
        <f ca="1"/>
        <v>0</v>
      </c>
      <c r="P752" s="13">
        <f ca="1"/>
        <v>0</v>
      </c>
    </row>
    <row r="753" spans="13:16">
      <c r="M753">
        <f t="shared" ca="1" si="32"/>
        <v>0</v>
      </c>
      <c r="N753" s="4" t="e">
        <f ca="1"/>
        <v>#VALUE!</v>
      </c>
      <c r="O753" s="4">
        <f ca="1"/>
        <v>0</v>
      </c>
      <c r="P753" s="13">
        <f ca="1"/>
        <v>0</v>
      </c>
    </row>
    <row r="754" spans="13:16">
      <c r="M754">
        <f t="shared" ca="1" si="32"/>
        <v>0</v>
      </c>
      <c r="N754" s="4" t="e">
        <f ca="1"/>
        <v>#VALUE!</v>
      </c>
      <c r="O754" s="4">
        <f ca="1"/>
        <v>0</v>
      </c>
      <c r="P754" s="13">
        <f ca="1"/>
        <v>0</v>
      </c>
    </row>
    <row r="755" spans="13:16">
      <c r="M755">
        <f t="shared" ca="1" si="32"/>
        <v>0</v>
      </c>
      <c r="N755" s="4" t="e">
        <f ca="1"/>
        <v>#VALUE!</v>
      </c>
      <c r="O755" s="4">
        <f ca="1"/>
        <v>0</v>
      </c>
      <c r="P755" s="13">
        <f ca="1"/>
        <v>0</v>
      </c>
    </row>
    <row r="756" spans="13:16">
      <c r="M756">
        <f t="shared" ca="1" si="32"/>
        <v>0</v>
      </c>
      <c r="N756" s="4" t="e">
        <f ca="1"/>
        <v>#VALUE!</v>
      </c>
      <c r="O756" s="4">
        <f ca="1"/>
        <v>0</v>
      </c>
      <c r="P756" s="13">
        <f ca="1"/>
        <v>0</v>
      </c>
    </row>
    <row r="757" spans="13:16">
      <c r="M757">
        <f t="shared" ca="1" si="32"/>
        <v>0</v>
      </c>
      <c r="N757" s="4" t="e">
        <f ca="1"/>
        <v>#VALUE!</v>
      </c>
      <c r="O757" s="4">
        <f ca="1"/>
        <v>0</v>
      </c>
      <c r="P757" s="13">
        <f ca="1"/>
        <v>0</v>
      </c>
    </row>
    <row r="758" spans="13:16">
      <c r="M758">
        <f t="shared" ca="1" si="32"/>
        <v>0</v>
      </c>
      <c r="N758" s="4" t="e">
        <f ca="1"/>
        <v>#VALUE!</v>
      </c>
      <c r="O758" s="4">
        <f ca="1"/>
        <v>0</v>
      </c>
      <c r="P758" s="13">
        <f ca="1"/>
        <v>0</v>
      </c>
    </row>
    <row r="759" spans="13:16">
      <c r="M759">
        <f t="shared" ca="1" si="32"/>
        <v>0</v>
      </c>
      <c r="N759" s="4" t="e">
        <f ca="1"/>
        <v>#VALUE!</v>
      </c>
      <c r="O759" s="4">
        <f ca="1"/>
        <v>0</v>
      </c>
      <c r="P759" s="13">
        <f ca="1"/>
        <v>0</v>
      </c>
    </row>
    <row r="760" spans="13:16">
      <c r="M760">
        <f t="shared" ca="1" si="32"/>
        <v>0</v>
      </c>
      <c r="N760" s="4" t="e">
        <f ca="1"/>
        <v>#VALUE!</v>
      </c>
      <c r="O760" s="4">
        <f ca="1"/>
        <v>0</v>
      </c>
      <c r="P760" s="13">
        <f ca="1"/>
        <v>0</v>
      </c>
    </row>
    <row r="761" spans="13:16">
      <c r="M761">
        <f t="shared" ca="1" si="32"/>
        <v>0</v>
      </c>
      <c r="N761" s="4" t="e">
        <f ca="1"/>
        <v>#VALUE!</v>
      </c>
      <c r="O761" s="4">
        <f ca="1"/>
        <v>0</v>
      </c>
      <c r="P761" s="13">
        <f ca="1"/>
        <v>0</v>
      </c>
    </row>
    <row r="762" spans="13:16">
      <c r="M762">
        <f t="shared" ca="1" si="32"/>
        <v>0</v>
      </c>
      <c r="N762" s="4" t="e">
        <f ca="1"/>
        <v>#VALUE!</v>
      </c>
      <c r="O762" s="4">
        <f ca="1"/>
        <v>0</v>
      </c>
      <c r="P762" s="13">
        <f ca="1"/>
        <v>0</v>
      </c>
    </row>
    <row r="763" spans="13:16">
      <c r="M763">
        <f t="shared" ca="1" si="32"/>
        <v>0</v>
      </c>
      <c r="N763" s="4" t="e">
        <f ca="1"/>
        <v>#VALUE!</v>
      </c>
      <c r="O763" s="4">
        <f ca="1"/>
        <v>0</v>
      </c>
      <c r="P763" s="13">
        <f ca="1"/>
        <v>0</v>
      </c>
    </row>
    <row r="764" spans="13:16">
      <c r="M764">
        <f t="shared" ca="1" si="32"/>
        <v>0</v>
      </c>
      <c r="N764" s="4" t="e">
        <f ca="1"/>
        <v>#VALUE!</v>
      </c>
      <c r="O764" s="4">
        <f ca="1"/>
        <v>0</v>
      </c>
      <c r="P764" s="13">
        <f ca="1"/>
        <v>0</v>
      </c>
    </row>
    <row r="765" spans="13:16">
      <c r="M765">
        <f t="shared" ca="1" si="32"/>
        <v>0</v>
      </c>
      <c r="N765" s="4" t="e">
        <f ca="1"/>
        <v>#VALUE!</v>
      </c>
      <c r="O765" s="4">
        <f ca="1"/>
        <v>0</v>
      </c>
      <c r="P765" s="13">
        <f ca="1"/>
        <v>0</v>
      </c>
    </row>
    <row r="766" spans="13:16">
      <c r="M766">
        <f t="shared" ca="1" si="32"/>
        <v>0</v>
      </c>
      <c r="N766" s="4" t="e">
        <f ca="1"/>
        <v>#VALUE!</v>
      </c>
      <c r="O766" s="4">
        <f ca="1"/>
        <v>0</v>
      </c>
      <c r="P766" s="13">
        <f ca="1"/>
        <v>0</v>
      </c>
    </row>
    <row r="767" spans="13:16">
      <c r="M767">
        <f t="shared" ca="1" si="32"/>
        <v>0</v>
      </c>
      <c r="N767" s="4" t="e">
        <f ca="1"/>
        <v>#VALUE!</v>
      </c>
      <c r="O767" s="4">
        <f ca="1"/>
        <v>0</v>
      </c>
      <c r="P767" s="13">
        <f ca="1"/>
        <v>0</v>
      </c>
    </row>
    <row r="768" spans="13:16">
      <c r="M768">
        <f t="shared" ca="1" si="32"/>
        <v>0</v>
      </c>
      <c r="N768" s="4" t="e">
        <f ca="1"/>
        <v>#VALUE!</v>
      </c>
      <c r="O768" s="4">
        <f ca="1"/>
        <v>0</v>
      </c>
      <c r="P768" s="13">
        <f ca="1"/>
        <v>0</v>
      </c>
    </row>
    <row r="769" spans="13:16">
      <c r="M769">
        <f t="shared" ca="1" si="32"/>
        <v>0</v>
      </c>
      <c r="N769" s="4" t="e">
        <f ca="1"/>
        <v>#VALUE!</v>
      </c>
      <c r="O769" s="4">
        <f ca="1"/>
        <v>0</v>
      </c>
      <c r="P769" s="13">
        <f ca="1"/>
        <v>0</v>
      </c>
    </row>
    <row r="770" spans="13:16">
      <c r="M770">
        <f t="shared" ca="1" si="32"/>
        <v>0</v>
      </c>
      <c r="N770" s="4" t="e">
        <f ca="1"/>
        <v>#VALUE!</v>
      </c>
      <c r="O770" s="4">
        <f ca="1"/>
        <v>0</v>
      </c>
      <c r="P770" s="13">
        <f ca="1"/>
        <v>0</v>
      </c>
    </row>
    <row r="771" spans="13:16">
      <c r="M771">
        <f t="shared" ca="1" si="32"/>
        <v>0</v>
      </c>
      <c r="N771" s="4" t="e">
        <f ca="1"/>
        <v>#VALUE!</v>
      </c>
      <c r="O771" s="4">
        <f ca="1"/>
        <v>0</v>
      </c>
      <c r="P771" s="13">
        <f ca="1"/>
        <v>0</v>
      </c>
    </row>
    <row r="772" spans="13:16">
      <c r="M772">
        <f t="shared" ca="1" si="32"/>
        <v>0</v>
      </c>
      <c r="N772" s="4" t="e">
        <f ca="1"/>
        <v>#VALUE!</v>
      </c>
      <c r="O772" s="4">
        <f ca="1"/>
        <v>0</v>
      </c>
      <c r="P772" s="13">
        <f ca="1"/>
        <v>0</v>
      </c>
    </row>
    <row r="773" spans="13:16">
      <c r="M773">
        <f t="shared" ca="1" si="32"/>
        <v>0</v>
      </c>
      <c r="N773" s="4" t="e">
        <f ca="1"/>
        <v>#VALUE!</v>
      </c>
      <c r="O773" s="4">
        <f ca="1"/>
        <v>0</v>
      </c>
      <c r="P773" s="13">
        <f ca="1"/>
        <v>0</v>
      </c>
    </row>
    <row r="774" spans="13:16">
      <c r="M774">
        <f t="shared" ref="M774:M837" ca="1" si="33">L774*$K$10</f>
        <v>0</v>
      </c>
      <c r="N774" s="4" t="e">
        <f ca="1"/>
        <v>#VALUE!</v>
      </c>
      <c r="O774" s="4">
        <f ca="1"/>
        <v>0</v>
      </c>
      <c r="P774" s="13">
        <f ca="1"/>
        <v>0</v>
      </c>
    </row>
    <row r="775" spans="13:16">
      <c r="M775">
        <f t="shared" ca="1" si="33"/>
        <v>0</v>
      </c>
      <c r="N775" s="4" t="e">
        <f ca="1"/>
        <v>#VALUE!</v>
      </c>
      <c r="O775" s="4">
        <f ca="1"/>
        <v>0</v>
      </c>
      <c r="P775" s="13">
        <f ca="1"/>
        <v>0</v>
      </c>
    </row>
    <row r="776" spans="13:16">
      <c r="M776">
        <f t="shared" ca="1" si="33"/>
        <v>0</v>
      </c>
      <c r="N776" s="4" t="e">
        <f ca="1"/>
        <v>#VALUE!</v>
      </c>
      <c r="O776" s="4">
        <f ca="1"/>
        <v>0</v>
      </c>
      <c r="P776" s="13">
        <f ca="1"/>
        <v>0</v>
      </c>
    </row>
    <row r="777" spans="13:16">
      <c r="M777">
        <f t="shared" ca="1" si="33"/>
        <v>0</v>
      </c>
      <c r="N777" s="4" t="e">
        <f ca="1"/>
        <v>#VALUE!</v>
      </c>
      <c r="O777" s="4">
        <f ca="1"/>
        <v>0</v>
      </c>
      <c r="P777" s="13">
        <f ca="1"/>
        <v>0</v>
      </c>
    </row>
    <row r="778" spans="13:16">
      <c r="M778">
        <f t="shared" ca="1" si="33"/>
        <v>0</v>
      </c>
      <c r="N778" s="4" t="e">
        <f ca="1"/>
        <v>#VALUE!</v>
      </c>
      <c r="O778" s="4">
        <f ca="1"/>
        <v>0</v>
      </c>
      <c r="P778" s="13">
        <f ca="1"/>
        <v>0</v>
      </c>
    </row>
    <row r="779" spans="13:16">
      <c r="M779">
        <f t="shared" ca="1" si="33"/>
        <v>0</v>
      </c>
      <c r="N779" s="4" t="e">
        <f ca="1"/>
        <v>#VALUE!</v>
      </c>
      <c r="O779" s="4">
        <f ca="1"/>
        <v>0</v>
      </c>
      <c r="P779" s="13">
        <f ca="1"/>
        <v>0</v>
      </c>
    </row>
    <row r="780" spans="13:16">
      <c r="M780">
        <f t="shared" ca="1" si="33"/>
        <v>0</v>
      </c>
      <c r="N780" s="4" t="e">
        <f ca="1"/>
        <v>#VALUE!</v>
      </c>
      <c r="O780" s="4">
        <f ca="1"/>
        <v>0</v>
      </c>
      <c r="P780" s="13">
        <f ca="1"/>
        <v>0</v>
      </c>
    </row>
    <row r="781" spans="13:16">
      <c r="M781">
        <f t="shared" ca="1" si="33"/>
        <v>0</v>
      </c>
      <c r="N781" s="4" t="e">
        <f ca="1"/>
        <v>#VALUE!</v>
      </c>
      <c r="O781" s="4">
        <f ca="1"/>
        <v>0</v>
      </c>
      <c r="P781" s="13">
        <f ca="1"/>
        <v>0</v>
      </c>
    </row>
    <row r="782" spans="13:16">
      <c r="M782">
        <f t="shared" ca="1" si="33"/>
        <v>0</v>
      </c>
      <c r="N782" s="4" t="e">
        <f ca="1"/>
        <v>#VALUE!</v>
      </c>
      <c r="O782" s="4">
        <f ca="1"/>
        <v>0</v>
      </c>
      <c r="P782" s="13">
        <f ca="1"/>
        <v>0</v>
      </c>
    </row>
    <row r="783" spans="13:16">
      <c r="M783">
        <f t="shared" ca="1" si="33"/>
        <v>0</v>
      </c>
      <c r="N783" s="4" t="e">
        <f ca="1"/>
        <v>#VALUE!</v>
      </c>
      <c r="O783" s="4">
        <f ca="1"/>
        <v>0</v>
      </c>
      <c r="P783" s="13">
        <f ca="1"/>
        <v>0</v>
      </c>
    </row>
    <row r="784" spans="13:16">
      <c r="M784">
        <f t="shared" ca="1" si="33"/>
        <v>0</v>
      </c>
      <c r="N784" s="4" t="e">
        <f ca="1"/>
        <v>#VALUE!</v>
      </c>
      <c r="O784" s="4">
        <f ca="1"/>
        <v>0</v>
      </c>
      <c r="P784" s="13">
        <f ca="1"/>
        <v>0</v>
      </c>
    </row>
    <row r="785" spans="13:16">
      <c r="M785">
        <f t="shared" ca="1" si="33"/>
        <v>0</v>
      </c>
      <c r="N785" s="4" t="e">
        <f ca="1"/>
        <v>#VALUE!</v>
      </c>
      <c r="O785" s="4">
        <f ca="1"/>
        <v>0</v>
      </c>
      <c r="P785" s="13">
        <f ca="1"/>
        <v>0</v>
      </c>
    </row>
    <row r="786" spans="13:16">
      <c r="M786">
        <f t="shared" ca="1" si="33"/>
        <v>0</v>
      </c>
      <c r="N786" s="4" t="e">
        <f ca="1"/>
        <v>#VALUE!</v>
      </c>
      <c r="O786" s="4">
        <f ca="1"/>
        <v>0</v>
      </c>
      <c r="P786" s="13">
        <f ca="1"/>
        <v>0</v>
      </c>
    </row>
    <row r="787" spans="13:16">
      <c r="M787">
        <f t="shared" ca="1" si="33"/>
        <v>0</v>
      </c>
      <c r="N787" s="4" t="e">
        <f ca="1"/>
        <v>#VALUE!</v>
      </c>
      <c r="O787" s="4">
        <f ca="1"/>
        <v>0</v>
      </c>
      <c r="P787" s="13">
        <f ca="1"/>
        <v>0</v>
      </c>
    </row>
    <row r="788" spans="13:16">
      <c r="M788">
        <f t="shared" ca="1" si="33"/>
        <v>0</v>
      </c>
      <c r="N788" s="4" t="e">
        <f ca="1"/>
        <v>#VALUE!</v>
      </c>
      <c r="O788" s="4">
        <f ca="1"/>
        <v>0</v>
      </c>
      <c r="P788" s="13">
        <f ca="1"/>
        <v>0</v>
      </c>
    </row>
    <row r="789" spans="13:16">
      <c r="M789">
        <f t="shared" ca="1" si="33"/>
        <v>0</v>
      </c>
      <c r="N789" s="4" t="e">
        <f ca="1"/>
        <v>#VALUE!</v>
      </c>
      <c r="O789" s="4">
        <f ca="1"/>
        <v>0</v>
      </c>
      <c r="P789" s="13">
        <f ca="1"/>
        <v>0</v>
      </c>
    </row>
    <row r="790" spans="13:16">
      <c r="M790">
        <f t="shared" ca="1" si="33"/>
        <v>0</v>
      </c>
      <c r="N790" s="4" t="e">
        <f ca="1"/>
        <v>#VALUE!</v>
      </c>
      <c r="O790" s="4">
        <f ca="1"/>
        <v>0</v>
      </c>
      <c r="P790" s="13">
        <f ca="1"/>
        <v>0</v>
      </c>
    </row>
    <row r="791" spans="13:16">
      <c r="M791">
        <f t="shared" ca="1" si="33"/>
        <v>0</v>
      </c>
      <c r="N791" s="4" t="e">
        <f ca="1"/>
        <v>#VALUE!</v>
      </c>
      <c r="O791" s="4">
        <f ca="1"/>
        <v>0</v>
      </c>
      <c r="P791" s="13">
        <f ca="1"/>
        <v>0</v>
      </c>
    </row>
    <row r="792" spans="13:16">
      <c r="M792">
        <f t="shared" ca="1" si="33"/>
        <v>0</v>
      </c>
      <c r="N792" s="4" t="e">
        <f ca="1"/>
        <v>#VALUE!</v>
      </c>
      <c r="O792" s="4">
        <f ca="1"/>
        <v>0</v>
      </c>
      <c r="P792" s="13">
        <f ca="1"/>
        <v>0</v>
      </c>
    </row>
    <row r="793" spans="13:16">
      <c r="M793">
        <f t="shared" ca="1" si="33"/>
        <v>0</v>
      </c>
      <c r="N793" s="4" t="e">
        <f ca="1"/>
        <v>#VALUE!</v>
      </c>
      <c r="O793" s="4">
        <f ca="1"/>
        <v>0</v>
      </c>
      <c r="P793" s="13">
        <f ca="1"/>
        <v>0</v>
      </c>
    </row>
    <row r="794" spans="13:16">
      <c r="M794">
        <f t="shared" ca="1" si="33"/>
        <v>0</v>
      </c>
      <c r="N794" s="4" t="e">
        <f ca="1"/>
        <v>#VALUE!</v>
      </c>
      <c r="O794" s="4">
        <f ca="1"/>
        <v>0</v>
      </c>
      <c r="P794" s="13">
        <f ca="1"/>
        <v>0</v>
      </c>
    </row>
    <row r="795" spans="13:16">
      <c r="M795">
        <f t="shared" ca="1" si="33"/>
        <v>0</v>
      </c>
      <c r="N795" s="4" t="e">
        <f ca="1"/>
        <v>#VALUE!</v>
      </c>
      <c r="O795" s="4">
        <f ca="1"/>
        <v>0</v>
      </c>
      <c r="P795" s="13">
        <f ca="1"/>
        <v>0</v>
      </c>
    </row>
    <row r="796" spans="13:16">
      <c r="M796">
        <f t="shared" ca="1" si="33"/>
        <v>0</v>
      </c>
      <c r="N796" s="4" t="e">
        <f ca="1"/>
        <v>#VALUE!</v>
      </c>
      <c r="O796" s="4">
        <f ca="1"/>
        <v>0</v>
      </c>
      <c r="P796" s="13">
        <f ca="1"/>
        <v>0</v>
      </c>
    </row>
    <row r="797" spans="13:16">
      <c r="M797">
        <f t="shared" ca="1" si="33"/>
        <v>0</v>
      </c>
      <c r="N797" s="4" t="e">
        <f ca="1"/>
        <v>#VALUE!</v>
      </c>
      <c r="O797" s="4">
        <f ca="1"/>
        <v>0</v>
      </c>
      <c r="P797" s="13">
        <f ca="1"/>
        <v>0</v>
      </c>
    </row>
    <row r="798" spans="13:16">
      <c r="M798">
        <f t="shared" ca="1" si="33"/>
        <v>0</v>
      </c>
      <c r="N798" s="4" t="e">
        <f ca="1"/>
        <v>#VALUE!</v>
      </c>
      <c r="O798" s="4">
        <f ca="1"/>
        <v>0</v>
      </c>
      <c r="P798" s="13">
        <f ca="1"/>
        <v>0</v>
      </c>
    </row>
    <row r="799" spans="13:16">
      <c r="M799">
        <f t="shared" ca="1" si="33"/>
        <v>0</v>
      </c>
      <c r="N799" s="4" t="e">
        <f ca="1"/>
        <v>#VALUE!</v>
      </c>
      <c r="O799" s="4">
        <f ca="1"/>
        <v>0</v>
      </c>
      <c r="P799" s="13">
        <f ca="1"/>
        <v>0</v>
      </c>
    </row>
    <row r="800" spans="13:16">
      <c r="M800">
        <f t="shared" ca="1" si="33"/>
        <v>0</v>
      </c>
      <c r="N800" s="4" t="e">
        <f ca="1"/>
        <v>#VALUE!</v>
      </c>
      <c r="O800" s="4">
        <f ca="1"/>
        <v>0</v>
      </c>
      <c r="P800" s="13">
        <f ca="1"/>
        <v>0</v>
      </c>
    </row>
    <row r="801" spans="13:16">
      <c r="M801">
        <f t="shared" ca="1" si="33"/>
        <v>0</v>
      </c>
      <c r="N801" s="4" t="e">
        <f ca="1"/>
        <v>#VALUE!</v>
      </c>
      <c r="O801" s="4">
        <f ca="1"/>
        <v>0</v>
      </c>
      <c r="P801" s="13">
        <f ca="1"/>
        <v>0</v>
      </c>
    </row>
    <row r="802" spans="13:16">
      <c r="M802">
        <f t="shared" ca="1" si="33"/>
        <v>0</v>
      </c>
      <c r="N802" s="4" t="e">
        <f ca="1"/>
        <v>#VALUE!</v>
      </c>
      <c r="O802" s="4">
        <f ca="1"/>
        <v>0</v>
      </c>
      <c r="P802" s="13">
        <f ca="1"/>
        <v>0</v>
      </c>
    </row>
    <row r="803" spans="13:16">
      <c r="M803">
        <f t="shared" ca="1" si="33"/>
        <v>0</v>
      </c>
      <c r="N803" s="4" t="e">
        <f ca="1"/>
        <v>#VALUE!</v>
      </c>
      <c r="O803" s="4">
        <f ca="1"/>
        <v>0</v>
      </c>
      <c r="P803" s="13">
        <f ca="1"/>
        <v>0</v>
      </c>
    </row>
    <row r="804" spans="13:16">
      <c r="M804">
        <f t="shared" ca="1" si="33"/>
        <v>0</v>
      </c>
      <c r="N804" s="4" t="e">
        <f ca="1"/>
        <v>#VALUE!</v>
      </c>
      <c r="O804" s="4">
        <f ca="1"/>
        <v>0</v>
      </c>
      <c r="P804" s="13">
        <f ca="1"/>
        <v>0</v>
      </c>
    </row>
    <row r="805" spans="13:16">
      <c r="M805">
        <f t="shared" ca="1" si="33"/>
        <v>0</v>
      </c>
      <c r="N805" s="4" t="e">
        <f ca="1"/>
        <v>#VALUE!</v>
      </c>
      <c r="O805" s="4">
        <f ca="1"/>
        <v>0</v>
      </c>
      <c r="P805" s="13">
        <f ca="1"/>
        <v>0</v>
      </c>
    </row>
    <row r="806" spans="13:16">
      <c r="M806">
        <f t="shared" ca="1" si="33"/>
        <v>0</v>
      </c>
      <c r="N806" s="4" t="e">
        <f ca="1"/>
        <v>#VALUE!</v>
      </c>
      <c r="O806" s="4">
        <f ca="1"/>
        <v>0</v>
      </c>
      <c r="P806" s="13">
        <f ca="1"/>
        <v>0</v>
      </c>
    </row>
    <row r="807" spans="13:16">
      <c r="M807">
        <f t="shared" ca="1" si="33"/>
        <v>0</v>
      </c>
      <c r="N807" s="4" t="e">
        <f ca="1"/>
        <v>#VALUE!</v>
      </c>
      <c r="O807" s="4">
        <f ca="1"/>
        <v>0</v>
      </c>
      <c r="P807" s="13">
        <f ca="1"/>
        <v>0</v>
      </c>
    </row>
    <row r="808" spans="13:16">
      <c r="M808">
        <f t="shared" ca="1" si="33"/>
        <v>0</v>
      </c>
      <c r="N808" s="4" t="e">
        <f ca="1"/>
        <v>#VALUE!</v>
      </c>
      <c r="O808" s="4">
        <f ca="1"/>
        <v>0</v>
      </c>
      <c r="P808" s="13">
        <f ca="1"/>
        <v>0</v>
      </c>
    </row>
    <row r="809" spans="13:16">
      <c r="M809">
        <f t="shared" ca="1" si="33"/>
        <v>0</v>
      </c>
      <c r="N809" s="4" t="e">
        <f ca="1"/>
        <v>#VALUE!</v>
      </c>
      <c r="O809" s="4">
        <f ca="1"/>
        <v>0</v>
      </c>
      <c r="P809" s="13">
        <f ca="1"/>
        <v>0</v>
      </c>
    </row>
    <row r="810" spans="13:16">
      <c r="M810">
        <f t="shared" ca="1" si="33"/>
        <v>0</v>
      </c>
      <c r="N810" s="4" t="e">
        <f ca="1"/>
        <v>#VALUE!</v>
      </c>
      <c r="O810" s="4">
        <f ca="1"/>
        <v>0</v>
      </c>
      <c r="P810" s="13">
        <f ca="1"/>
        <v>0</v>
      </c>
    </row>
    <row r="811" spans="13:16">
      <c r="M811">
        <f t="shared" ca="1" si="33"/>
        <v>0</v>
      </c>
      <c r="N811" s="4" t="e">
        <f ca="1"/>
        <v>#VALUE!</v>
      </c>
      <c r="O811" s="4">
        <f ca="1"/>
        <v>0</v>
      </c>
      <c r="P811" s="13">
        <f ca="1"/>
        <v>0</v>
      </c>
    </row>
    <row r="812" spans="13:16">
      <c r="M812">
        <f t="shared" ca="1" si="33"/>
        <v>0</v>
      </c>
      <c r="N812" s="4" t="e">
        <f ca="1"/>
        <v>#VALUE!</v>
      </c>
      <c r="O812" s="4">
        <f ca="1"/>
        <v>0</v>
      </c>
      <c r="P812" s="13">
        <f ca="1"/>
        <v>0</v>
      </c>
    </row>
    <row r="813" spans="13:16">
      <c r="M813">
        <f t="shared" ca="1" si="33"/>
        <v>0</v>
      </c>
      <c r="N813" s="4" t="e">
        <f ca="1"/>
        <v>#VALUE!</v>
      </c>
      <c r="O813" s="4">
        <f ca="1"/>
        <v>0</v>
      </c>
      <c r="P813" s="13">
        <f ca="1"/>
        <v>0</v>
      </c>
    </row>
    <row r="814" spans="13:16">
      <c r="M814">
        <f t="shared" ca="1" si="33"/>
        <v>0</v>
      </c>
      <c r="N814" s="4" t="e">
        <f ca="1"/>
        <v>#VALUE!</v>
      </c>
      <c r="O814" s="4">
        <f ca="1"/>
        <v>0</v>
      </c>
      <c r="P814" s="13">
        <f ca="1"/>
        <v>0</v>
      </c>
    </row>
    <row r="815" spans="13:16">
      <c r="M815">
        <f t="shared" ca="1" si="33"/>
        <v>0</v>
      </c>
      <c r="N815" s="4" t="e">
        <f ca="1"/>
        <v>#VALUE!</v>
      </c>
      <c r="O815" s="4">
        <f ca="1"/>
        <v>0</v>
      </c>
      <c r="P815" s="13">
        <f ca="1"/>
        <v>0</v>
      </c>
    </row>
    <row r="816" spans="13:16">
      <c r="M816">
        <f t="shared" ca="1" si="33"/>
        <v>0</v>
      </c>
      <c r="N816" s="4" t="e">
        <f ca="1"/>
        <v>#VALUE!</v>
      </c>
      <c r="O816" s="4">
        <f ca="1"/>
        <v>0</v>
      </c>
      <c r="P816" s="13">
        <f ca="1"/>
        <v>0</v>
      </c>
    </row>
    <row r="817" spans="13:16">
      <c r="M817">
        <f t="shared" ca="1" si="33"/>
        <v>0</v>
      </c>
      <c r="N817" s="4" t="e">
        <f ca="1"/>
        <v>#VALUE!</v>
      </c>
      <c r="O817" s="4">
        <f ca="1"/>
        <v>0</v>
      </c>
      <c r="P817" s="13">
        <f ca="1"/>
        <v>0</v>
      </c>
    </row>
    <row r="818" spans="13:16">
      <c r="M818">
        <f t="shared" ca="1" si="33"/>
        <v>0</v>
      </c>
      <c r="N818" s="4" t="e">
        <f ca="1"/>
        <v>#VALUE!</v>
      </c>
      <c r="O818" s="4">
        <f ca="1"/>
        <v>0</v>
      </c>
      <c r="P818" s="13">
        <f ca="1"/>
        <v>0</v>
      </c>
    </row>
    <row r="819" spans="13:16">
      <c r="M819">
        <f t="shared" ca="1" si="33"/>
        <v>0</v>
      </c>
      <c r="N819" s="4" t="e">
        <f ca="1"/>
        <v>#VALUE!</v>
      </c>
      <c r="O819" s="4">
        <f ca="1"/>
        <v>0</v>
      </c>
      <c r="P819" s="13">
        <f ca="1"/>
        <v>0</v>
      </c>
    </row>
    <row r="820" spans="13:16">
      <c r="M820">
        <f t="shared" ca="1" si="33"/>
        <v>0</v>
      </c>
      <c r="N820" s="4" t="e">
        <f ca="1"/>
        <v>#VALUE!</v>
      </c>
      <c r="O820" s="4">
        <f ca="1"/>
        <v>0</v>
      </c>
      <c r="P820" s="13">
        <f ca="1"/>
        <v>0</v>
      </c>
    </row>
    <row r="821" spans="13:16">
      <c r="M821">
        <f t="shared" ca="1" si="33"/>
        <v>0</v>
      </c>
      <c r="N821" s="4" t="e">
        <f ca="1"/>
        <v>#VALUE!</v>
      </c>
      <c r="O821" s="4">
        <f ca="1"/>
        <v>0</v>
      </c>
      <c r="P821" s="13">
        <f ca="1"/>
        <v>0</v>
      </c>
    </row>
    <row r="822" spans="13:16">
      <c r="M822">
        <f t="shared" ca="1" si="33"/>
        <v>0</v>
      </c>
      <c r="N822" s="4" t="e">
        <f ca="1"/>
        <v>#VALUE!</v>
      </c>
      <c r="O822" s="4">
        <f ca="1"/>
        <v>0</v>
      </c>
      <c r="P822" s="13">
        <f ca="1"/>
        <v>0</v>
      </c>
    </row>
    <row r="823" spans="13:16">
      <c r="M823">
        <f t="shared" ca="1" si="33"/>
        <v>0</v>
      </c>
      <c r="N823" s="4" t="e">
        <f ca="1"/>
        <v>#VALUE!</v>
      </c>
      <c r="O823" s="4">
        <f ca="1"/>
        <v>0</v>
      </c>
      <c r="P823" s="13">
        <f ca="1"/>
        <v>0</v>
      </c>
    </row>
    <row r="824" spans="13:16">
      <c r="M824">
        <f t="shared" ca="1" si="33"/>
        <v>0</v>
      </c>
      <c r="N824" s="4" t="e">
        <f ca="1"/>
        <v>#VALUE!</v>
      </c>
      <c r="O824" s="4">
        <f ca="1"/>
        <v>0</v>
      </c>
      <c r="P824" s="13">
        <f ca="1"/>
        <v>0</v>
      </c>
    </row>
    <row r="825" spans="13:16">
      <c r="M825">
        <f t="shared" ca="1" si="33"/>
        <v>0</v>
      </c>
      <c r="N825" s="4" t="e">
        <f ca="1"/>
        <v>#VALUE!</v>
      </c>
      <c r="O825" s="4">
        <f ca="1"/>
        <v>0</v>
      </c>
      <c r="P825" s="13">
        <f ca="1"/>
        <v>0</v>
      </c>
    </row>
    <row r="826" spans="13:16">
      <c r="M826">
        <f t="shared" ca="1" si="33"/>
        <v>0</v>
      </c>
      <c r="N826" s="4" t="e">
        <f ca="1"/>
        <v>#VALUE!</v>
      </c>
      <c r="O826" s="4">
        <f ca="1"/>
        <v>0</v>
      </c>
      <c r="P826" s="13">
        <f ca="1"/>
        <v>0</v>
      </c>
    </row>
    <row r="827" spans="13:16">
      <c r="M827">
        <f t="shared" ca="1" si="33"/>
        <v>0</v>
      </c>
      <c r="N827" s="4" t="e">
        <f ca="1"/>
        <v>#VALUE!</v>
      </c>
      <c r="O827" s="4">
        <f ca="1"/>
        <v>0</v>
      </c>
      <c r="P827" s="13">
        <f ca="1"/>
        <v>0</v>
      </c>
    </row>
    <row r="828" spans="13:16">
      <c r="M828">
        <f t="shared" ca="1" si="33"/>
        <v>0</v>
      </c>
      <c r="N828" s="4" t="e">
        <f ca="1"/>
        <v>#VALUE!</v>
      </c>
      <c r="O828" s="4">
        <f ca="1"/>
        <v>0</v>
      </c>
      <c r="P828" s="13">
        <f ca="1"/>
        <v>0</v>
      </c>
    </row>
    <row r="829" spans="13:16">
      <c r="M829">
        <f t="shared" ca="1" si="33"/>
        <v>0</v>
      </c>
      <c r="N829" s="4" t="e">
        <f ca="1"/>
        <v>#VALUE!</v>
      </c>
      <c r="O829" s="4">
        <f ca="1"/>
        <v>0</v>
      </c>
      <c r="P829" s="13">
        <f ca="1"/>
        <v>0</v>
      </c>
    </row>
    <row r="830" spans="13:16">
      <c r="M830">
        <f t="shared" ca="1" si="33"/>
        <v>0</v>
      </c>
      <c r="N830" s="4" t="e">
        <f ca="1"/>
        <v>#VALUE!</v>
      </c>
      <c r="O830" s="4">
        <f ca="1"/>
        <v>0</v>
      </c>
      <c r="P830" s="13">
        <f ca="1"/>
        <v>0</v>
      </c>
    </row>
    <row r="831" spans="13:16">
      <c r="M831">
        <f t="shared" ca="1" si="33"/>
        <v>0</v>
      </c>
      <c r="N831" s="4" t="e">
        <f ca="1"/>
        <v>#VALUE!</v>
      </c>
      <c r="O831" s="4">
        <f ca="1"/>
        <v>0</v>
      </c>
      <c r="P831" s="13">
        <f ca="1"/>
        <v>0</v>
      </c>
    </row>
    <row r="832" spans="13:16">
      <c r="M832">
        <f t="shared" ca="1" si="33"/>
        <v>0</v>
      </c>
      <c r="N832" s="4" t="e">
        <f ca="1"/>
        <v>#VALUE!</v>
      </c>
      <c r="O832" s="4">
        <f ca="1"/>
        <v>0</v>
      </c>
      <c r="P832" s="13">
        <f ca="1"/>
        <v>0</v>
      </c>
    </row>
    <row r="833" spans="13:16">
      <c r="M833">
        <f t="shared" ca="1" si="33"/>
        <v>0</v>
      </c>
      <c r="N833" s="4" t="e">
        <f ca="1"/>
        <v>#VALUE!</v>
      </c>
      <c r="O833" s="4">
        <f ca="1"/>
        <v>0</v>
      </c>
      <c r="P833" s="13">
        <f ca="1"/>
        <v>0</v>
      </c>
    </row>
    <row r="834" spans="13:16">
      <c r="M834">
        <f t="shared" ca="1" si="33"/>
        <v>0</v>
      </c>
      <c r="N834" s="4" t="e">
        <f ca="1"/>
        <v>#VALUE!</v>
      </c>
      <c r="O834" s="4">
        <f ca="1"/>
        <v>0</v>
      </c>
      <c r="P834" s="13">
        <f ca="1"/>
        <v>0</v>
      </c>
    </row>
    <row r="835" spans="13:16">
      <c r="M835">
        <f t="shared" ca="1" si="33"/>
        <v>0</v>
      </c>
      <c r="N835" s="4" t="e">
        <f ca="1"/>
        <v>#VALUE!</v>
      </c>
      <c r="O835" s="4">
        <f ca="1"/>
        <v>0</v>
      </c>
      <c r="P835" s="13">
        <f ca="1"/>
        <v>0</v>
      </c>
    </row>
    <row r="836" spans="13:16">
      <c r="M836">
        <f t="shared" ca="1" si="33"/>
        <v>0</v>
      </c>
      <c r="N836" s="4" t="e">
        <f ca="1"/>
        <v>#VALUE!</v>
      </c>
      <c r="O836" s="4">
        <f ca="1"/>
        <v>0</v>
      </c>
      <c r="P836" s="13">
        <f ca="1"/>
        <v>0</v>
      </c>
    </row>
    <row r="837" spans="13:16">
      <c r="M837">
        <f t="shared" ca="1" si="33"/>
        <v>0</v>
      </c>
      <c r="N837" s="4" t="e">
        <f ca="1"/>
        <v>#VALUE!</v>
      </c>
      <c r="O837" s="4">
        <f ca="1"/>
        <v>0</v>
      </c>
      <c r="P837" s="13">
        <f ca="1"/>
        <v>0</v>
      </c>
    </row>
    <row r="838" spans="13:16">
      <c r="M838">
        <f t="shared" ref="M838:M883" ca="1" si="34">L838*$K$10</f>
        <v>0</v>
      </c>
      <c r="N838" s="4" t="e">
        <f ca="1"/>
        <v>#VALUE!</v>
      </c>
      <c r="O838" s="4">
        <f ca="1"/>
        <v>0</v>
      </c>
      <c r="P838" s="13">
        <f ca="1"/>
        <v>0</v>
      </c>
    </row>
    <row r="839" spans="13:16">
      <c r="M839">
        <f t="shared" ca="1" si="34"/>
        <v>0</v>
      </c>
      <c r="N839" s="4" t="e">
        <f ca="1"/>
        <v>#VALUE!</v>
      </c>
      <c r="O839" s="4">
        <f ca="1"/>
        <v>0</v>
      </c>
      <c r="P839" s="13">
        <f ca="1"/>
        <v>0</v>
      </c>
    </row>
    <row r="840" spans="13:16">
      <c r="M840">
        <f t="shared" ca="1" si="34"/>
        <v>0</v>
      </c>
      <c r="N840" s="4" t="e">
        <f ca="1"/>
        <v>#VALUE!</v>
      </c>
      <c r="O840" s="4">
        <f ca="1"/>
        <v>0</v>
      </c>
      <c r="P840" s="13">
        <f ca="1"/>
        <v>0</v>
      </c>
    </row>
    <row r="841" spans="13:16">
      <c r="M841">
        <f t="shared" ca="1" si="34"/>
        <v>0</v>
      </c>
      <c r="N841" s="4" t="e">
        <f ca="1"/>
        <v>#VALUE!</v>
      </c>
      <c r="O841" s="4">
        <f ca="1"/>
        <v>0</v>
      </c>
      <c r="P841" s="13">
        <f ca="1"/>
        <v>0</v>
      </c>
    </row>
    <row r="842" spans="13:16">
      <c r="M842">
        <f t="shared" ca="1" si="34"/>
        <v>0</v>
      </c>
      <c r="N842" s="4" t="e">
        <f ca="1"/>
        <v>#VALUE!</v>
      </c>
      <c r="O842" s="4">
        <f ca="1"/>
        <v>0</v>
      </c>
      <c r="P842" s="13">
        <f ca="1"/>
        <v>0</v>
      </c>
    </row>
    <row r="843" spans="13:16">
      <c r="M843">
        <f t="shared" ca="1" si="34"/>
        <v>0</v>
      </c>
      <c r="N843" s="4" t="e">
        <f ca="1"/>
        <v>#VALUE!</v>
      </c>
      <c r="O843" s="4">
        <f ca="1"/>
        <v>0</v>
      </c>
      <c r="P843" s="13">
        <f ca="1"/>
        <v>0</v>
      </c>
    </row>
    <row r="844" spans="13:16">
      <c r="M844">
        <f t="shared" ca="1" si="34"/>
        <v>0</v>
      </c>
      <c r="N844" s="4" t="e">
        <f ca="1"/>
        <v>#VALUE!</v>
      </c>
      <c r="O844" s="4">
        <f ca="1"/>
        <v>0</v>
      </c>
      <c r="P844" s="13">
        <f ca="1"/>
        <v>0</v>
      </c>
    </row>
    <row r="845" spans="13:16">
      <c r="M845">
        <f t="shared" ca="1" si="34"/>
        <v>0</v>
      </c>
      <c r="N845" s="4" t="e">
        <f ca="1"/>
        <v>#VALUE!</v>
      </c>
      <c r="O845" s="4">
        <f ca="1"/>
        <v>0</v>
      </c>
      <c r="P845" s="13">
        <f ca="1"/>
        <v>0</v>
      </c>
    </row>
    <row r="846" spans="13:16">
      <c r="M846">
        <f t="shared" ca="1" si="34"/>
        <v>0</v>
      </c>
      <c r="N846" s="4" t="e">
        <f ca="1"/>
        <v>#VALUE!</v>
      </c>
      <c r="O846" s="4">
        <f ca="1"/>
        <v>0</v>
      </c>
      <c r="P846" s="13">
        <f ca="1"/>
        <v>0</v>
      </c>
    </row>
    <row r="847" spans="13:16">
      <c r="M847">
        <f t="shared" ca="1" si="34"/>
        <v>0</v>
      </c>
      <c r="N847" s="4" t="e">
        <f ca="1"/>
        <v>#VALUE!</v>
      </c>
      <c r="O847" s="4">
        <f ca="1"/>
        <v>0</v>
      </c>
      <c r="P847" s="13">
        <f ca="1"/>
        <v>0</v>
      </c>
    </row>
    <row r="848" spans="13:16">
      <c r="M848">
        <f t="shared" ca="1" si="34"/>
        <v>0</v>
      </c>
      <c r="N848" s="4" t="e">
        <f ca="1"/>
        <v>#VALUE!</v>
      </c>
      <c r="O848" s="4">
        <f ca="1"/>
        <v>0</v>
      </c>
      <c r="P848" s="13">
        <f ca="1"/>
        <v>0</v>
      </c>
    </row>
    <row r="849" spans="13:16">
      <c r="M849">
        <f t="shared" ca="1" si="34"/>
        <v>0</v>
      </c>
      <c r="N849" s="4" t="e">
        <f ca="1"/>
        <v>#VALUE!</v>
      </c>
      <c r="O849" s="4">
        <f ca="1"/>
        <v>0</v>
      </c>
      <c r="P849" s="13">
        <f ca="1"/>
        <v>0</v>
      </c>
    </row>
    <row r="850" spans="13:16">
      <c r="M850">
        <f t="shared" ca="1" si="34"/>
        <v>0</v>
      </c>
      <c r="N850" s="4" t="e">
        <f ca="1"/>
        <v>#VALUE!</v>
      </c>
      <c r="O850" s="4">
        <f ca="1"/>
        <v>0</v>
      </c>
      <c r="P850" s="13">
        <f ca="1"/>
        <v>0</v>
      </c>
    </row>
    <row r="851" spans="13:16">
      <c r="M851">
        <f t="shared" ca="1" si="34"/>
        <v>0</v>
      </c>
      <c r="N851" s="4" t="e">
        <f ca="1"/>
        <v>#VALUE!</v>
      </c>
      <c r="O851" s="4">
        <f ca="1"/>
        <v>0</v>
      </c>
      <c r="P851" s="13">
        <f ca="1"/>
        <v>0</v>
      </c>
    </row>
    <row r="852" spans="13:16">
      <c r="M852">
        <f t="shared" ca="1" si="34"/>
        <v>0</v>
      </c>
      <c r="N852" s="4" t="e">
        <f ca="1"/>
        <v>#VALUE!</v>
      </c>
      <c r="O852" s="4">
        <f ca="1"/>
        <v>0</v>
      </c>
      <c r="P852" s="13">
        <f ca="1"/>
        <v>0</v>
      </c>
    </row>
    <row r="853" spans="13:16">
      <c r="M853">
        <f t="shared" ca="1" si="34"/>
        <v>0</v>
      </c>
      <c r="N853" s="4" t="e">
        <f ca="1"/>
        <v>#VALUE!</v>
      </c>
      <c r="O853" s="4">
        <f ca="1"/>
        <v>0</v>
      </c>
      <c r="P853" s="13">
        <f ca="1"/>
        <v>0</v>
      </c>
    </row>
    <row r="854" spans="13:16">
      <c r="M854">
        <f t="shared" ca="1" si="34"/>
        <v>0</v>
      </c>
      <c r="N854" s="4" t="e">
        <f ca="1"/>
        <v>#VALUE!</v>
      </c>
      <c r="O854" s="4">
        <f ca="1"/>
        <v>0</v>
      </c>
      <c r="P854" s="13">
        <f ca="1"/>
        <v>0</v>
      </c>
    </row>
    <row r="855" spans="13:16">
      <c r="M855">
        <f t="shared" ca="1" si="34"/>
        <v>0</v>
      </c>
      <c r="N855" s="4" t="e">
        <f ca="1"/>
        <v>#VALUE!</v>
      </c>
      <c r="O855" s="4">
        <f ca="1"/>
        <v>0</v>
      </c>
      <c r="P855" s="13">
        <f ca="1"/>
        <v>0</v>
      </c>
    </row>
    <row r="856" spans="13:16">
      <c r="M856">
        <f t="shared" ca="1" si="34"/>
        <v>0</v>
      </c>
      <c r="N856" s="4" t="e">
        <f ca="1"/>
        <v>#VALUE!</v>
      </c>
      <c r="O856" s="4">
        <f ca="1"/>
        <v>0</v>
      </c>
      <c r="P856" s="13">
        <f ca="1"/>
        <v>0</v>
      </c>
    </row>
    <row r="857" spans="13:16">
      <c r="M857">
        <f t="shared" ca="1" si="34"/>
        <v>0</v>
      </c>
      <c r="N857" s="4" t="e">
        <f ca="1"/>
        <v>#VALUE!</v>
      </c>
      <c r="O857" s="4">
        <f ca="1"/>
        <v>0</v>
      </c>
      <c r="P857" s="13">
        <f ca="1"/>
        <v>0</v>
      </c>
    </row>
    <row r="858" spans="13:16">
      <c r="M858">
        <f t="shared" ca="1" si="34"/>
        <v>0</v>
      </c>
      <c r="N858" s="4" t="e">
        <f ca="1"/>
        <v>#VALUE!</v>
      </c>
      <c r="O858" s="4">
        <f ca="1"/>
        <v>0</v>
      </c>
      <c r="P858" s="13">
        <f ca="1"/>
        <v>0</v>
      </c>
    </row>
    <row r="859" spans="13:16">
      <c r="M859">
        <f t="shared" ca="1" si="34"/>
        <v>0</v>
      </c>
      <c r="N859" s="4" t="e">
        <f ca="1"/>
        <v>#VALUE!</v>
      </c>
      <c r="O859" s="4">
        <f ca="1"/>
        <v>0</v>
      </c>
      <c r="P859" s="13">
        <f ca="1"/>
        <v>0</v>
      </c>
    </row>
    <row r="860" spans="13:16">
      <c r="M860">
        <f t="shared" ca="1" si="34"/>
        <v>0</v>
      </c>
      <c r="N860" s="4" t="e">
        <f ca="1"/>
        <v>#VALUE!</v>
      </c>
      <c r="O860" s="4">
        <f ca="1"/>
        <v>0</v>
      </c>
      <c r="P860" s="13">
        <f ca="1"/>
        <v>0</v>
      </c>
    </row>
    <row r="861" spans="13:16">
      <c r="M861">
        <f t="shared" ca="1" si="34"/>
        <v>0</v>
      </c>
      <c r="N861" s="4" t="e">
        <f ca="1"/>
        <v>#VALUE!</v>
      </c>
      <c r="O861" s="4">
        <f ca="1"/>
        <v>0</v>
      </c>
      <c r="P861" s="13">
        <f ca="1"/>
        <v>0</v>
      </c>
    </row>
    <row r="862" spans="13:16">
      <c r="M862">
        <f t="shared" ca="1" si="34"/>
        <v>0</v>
      </c>
      <c r="N862" s="4" t="e">
        <f ca="1"/>
        <v>#VALUE!</v>
      </c>
      <c r="O862" s="4">
        <f ca="1"/>
        <v>0</v>
      </c>
      <c r="P862" s="13">
        <f ca="1"/>
        <v>0</v>
      </c>
    </row>
    <row r="863" spans="13:16">
      <c r="M863">
        <f t="shared" ca="1" si="34"/>
        <v>0</v>
      </c>
      <c r="N863" s="4" t="e">
        <f ca="1"/>
        <v>#VALUE!</v>
      </c>
      <c r="O863" s="4">
        <f ca="1"/>
        <v>0</v>
      </c>
      <c r="P863" s="13">
        <f ca="1"/>
        <v>0</v>
      </c>
    </row>
    <row r="864" spans="13:16">
      <c r="M864">
        <f t="shared" ca="1" si="34"/>
        <v>0</v>
      </c>
      <c r="N864" s="4" t="e">
        <f ca="1"/>
        <v>#VALUE!</v>
      </c>
      <c r="O864" s="4">
        <f ca="1"/>
        <v>0</v>
      </c>
      <c r="P864" s="13">
        <f ca="1"/>
        <v>0</v>
      </c>
    </row>
    <row r="865" spans="13:16">
      <c r="M865">
        <f t="shared" ca="1" si="34"/>
        <v>0</v>
      </c>
      <c r="N865" s="4" t="e">
        <f ca="1"/>
        <v>#VALUE!</v>
      </c>
      <c r="O865" s="4">
        <f ca="1"/>
        <v>0</v>
      </c>
      <c r="P865" s="13">
        <f ca="1"/>
        <v>0</v>
      </c>
    </row>
    <row r="866" spans="13:16">
      <c r="M866">
        <f t="shared" ca="1" si="34"/>
        <v>0</v>
      </c>
      <c r="N866" s="4" t="e">
        <f ca="1"/>
        <v>#VALUE!</v>
      </c>
      <c r="O866" s="4">
        <f ca="1"/>
        <v>0</v>
      </c>
      <c r="P866" s="13">
        <f ca="1"/>
        <v>0</v>
      </c>
    </row>
    <row r="867" spans="13:16">
      <c r="M867">
        <f t="shared" ca="1" si="34"/>
        <v>0</v>
      </c>
      <c r="N867" s="4" t="e">
        <f ca="1"/>
        <v>#VALUE!</v>
      </c>
      <c r="O867" s="4">
        <f ca="1"/>
        <v>0</v>
      </c>
      <c r="P867" s="13">
        <f ca="1"/>
        <v>0</v>
      </c>
    </row>
    <row r="868" spans="13:16">
      <c r="M868">
        <f t="shared" ca="1" si="34"/>
        <v>0</v>
      </c>
      <c r="N868" s="4" t="e">
        <f ca="1"/>
        <v>#VALUE!</v>
      </c>
      <c r="O868" s="4">
        <f ca="1"/>
        <v>0</v>
      </c>
      <c r="P868" s="13">
        <f ca="1"/>
        <v>0</v>
      </c>
    </row>
    <row r="869" spans="13:16">
      <c r="M869">
        <f t="shared" ca="1" si="34"/>
        <v>0</v>
      </c>
      <c r="N869" s="4" t="e">
        <f ca="1"/>
        <v>#VALUE!</v>
      </c>
      <c r="O869" s="4">
        <f ca="1"/>
        <v>0</v>
      </c>
      <c r="P869" s="13">
        <f ca="1"/>
        <v>0</v>
      </c>
    </row>
    <row r="870" spans="13:16">
      <c r="M870">
        <f t="shared" ca="1" si="34"/>
        <v>0</v>
      </c>
      <c r="N870" s="4" t="e">
        <f ca="1"/>
        <v>#VALUE!</v>
      </c>
      <c r="O870" s="4">
        <f ca="1"/>
        <v>0</v>
      </c>
      <c r="P870" s="13">
        <f ca="1"/>
        <v>0</v>
      </c>
    </row>
    <row r="871" spans="13:16">
      <c r="M871">
        <f t="shared" ca="1" si="34"/>
        <v>0</v>
      </c>
      <c r="N871" s="4" t="e">
        <f ca="1"/>
        <v>#VALUE!</v>
      </c>
      <c r="O871" s="4">
        <f ca="1"/>
        <v>0</v>
      </c>
      <c r="P871" s="13">
        <f ca="1"/>
        <v>0</v>
      </c>
    </row>
    <row r="872" spans="13:16">
      <c r="M872">
        <f t="shared" ca="1" si="34"/>
        <v>0</v>
      </c>
      <c r="N872" s="4" t="e">
        <f ca="1"/>
        <v>#VALUE!</v>
      </c>
      <c r="O872" s="4">
        <f ca="1"/>
        <v>0</v>
      </c>
      <c r="P872" s="13">
        <f ca="1"/>
        <v>0</v>
      </c>
    </row>
    <row r="873" spans="13:16">
      <c r="M873">
        <f t="shared" ca="1" si="34"/>
        <v>0</v>
      </c>
      <c r="N873" s="4" t="e">
        <f ca="1"/>
        <v>#VALUE!</v>
      </c>
      <c r="O873" s="4">
        <f ca="1"/>
        <v>0</v>
      </c>
      <c r="P873" s="13">
        <f ca="1"/>
        <v>0</v>
      </c>
    </row>
    <row r="874" spans="13:16">
      <c r="M874">
        <f t="shared" ca="1" si="34"/>
        <v>0</v>
      </c>
      <c r="N874" s="4" t="e">
        <f ca="1"/>
        <v>#VALUE!</v>
      </c>
      <c r="O874" s="4">
        <f ca="1"/>
        <v>0</v>
      </c>
      <c r="P874" s="13">
        <f ca="1"/>
        <v>0</v>
      </c>
    </row>
    <row r="875" spans="13:16">
      <c r="M875">
        <f t="shared" ca="1" si="34"/>
        <v>0</v>
      </c>
      <c r="N875" s="4" t="e">
        <f ca="1"/>
        <v>#VALUE!</v>
      </c>
      <c r="O875" s="4">
        <f ca="1"/>
        <v>0</v>
      </c>
      <c r="P875" s="13">
        <f ca="1"/>
        <v>0</v>
      </c>
    </row>
    <row r="876" spans="13:16">
      <c r="M876">
        <f t="shared" ca="1" si="34"/>
        <v>0</v>
      </c>
      <c r="N876" s="4" t="e">
        <f ca="1"/>
        <v>#VALUE!</v>
      </c>
      <c r="O876" s="4">
        <f ca="1"/>
        <v>0</v>
      </c>
      <c r="P876" s="13">
        <f ca="1"/>
        <v>0</v>
      </c>
    </row>
    <row r="877" spans="13:16">
      <c r="M877">
        <f t="shared" ca="1" si="34"/>
        <v>0</v>
      </c>
      <c r="N877" s="4" t="e">
        <f ca="1"/>
        <v>#VALUE!</v>
      </c>
      <c r="O877" s="4">
        <f ca="1"/>
        <v>0</v>
      </c>
      <c r="P877" s="13">
        <f ca="1"/>
        <v>0</v>
      </c>
    </row>
    <row r="878" spans="13:16">
      <c r="M878">
        <f t="shared" ca="1" si="34"/>
        <v>0</v>
      </c>
      <c r="N878" s="4" t="e">
        <f ca="1"/>
        <v>#VALUE!</v>
      </c>
      <c r="O878" s="4">
        <f ca="1"/>
        <v>0</v>
      </c>
      <c r="P878" s="13">
        <f ca="1"/>
        <v>0</v>
      </c>
    </row>
    <row r="879" spans="13:16">
      <c r="M879">
        <f t="shared" ca="1" si="34"/>
        <v>0</v>
      </c>
      <c r="N879" s="4" t="e">
        <f ca="1"/>
        <v>#VALUE!</v>
      </c>
      <c r="O879" s="4">
        <f ca="1"/>
        <v>0</v>
      </c>
      <c r="P879" s="13">
        <f ca="1"/>
        <v>0</v>
      </c>
    </row>
    <row r="880" spans="13:16">
      <c r="M880">
        <f t="shared" ca="1" si="34"/>
        <v>0</v>
      </c>
      <c r="N880" s="4" t="e">
        <f ca="1"/>
        <v>#VALUE!</v>
      </c>
      <c r="O880" s="4">
        <f ca="1"/>
        <v>0</v>
      </c>
      <c r="P880" s="13">
        <f ca="1"/>
        <v>0</v>
      </c>
    </row>
    <row r="881" spans="13:16">
      <c r="M881">
        <f t="shared" ca="1" si="34"/>
        <v>0</v>
      </c>
      <c r="N881" s="4" t="e">
        <f ca="1"/>
        <v>#VALUE!</v>
      </c>
      <c r="O881" s="4">
        <f ca="1"/>
        <v>0</v>
      </c>
      <c r="P881" s="13">
        <f ca="1"/>
        <v>0</v>
      </c>
    </row>
    <row r="882" spans="13:16">
      <c r="M882">
        <f t="shared" ca="1" si="34"/>
        <v>0</v>
      </c>
      <c r="N882" s="4" t="e">
        <f ca="1"/>
        <v>#VALUE!</v>
      </c>
      <c r="O882" s="4">
        <f ca="1"/>
        <v>0</v>
      </c>
      <c r="P882" s="13">
        <f ca="1"/>
        <v>0</v>
      </c>
    </row>
    <row r="883" spans="13:16">
      <c r="M883">
        <f t="shared" ca="1" si="34"/>
        <v>0</v>
      </c>
      <c r="N883" s="4" t="e">
        <f ca="1"/>
        <v>#VALUE!</v>
      </c>
      <c r="O883" s="4">
        <f ca="1"/>
        <v>0</v>
      </c>
      <c r="P883" s="13">
        <f ca="1"/>
        <v>0</v>
      </c>
    </row>
    <row r="884" spans="13:16">
      <c r="N884" s="4" t="e">
        <f ca="1"/>
        <v>#VALUE!</v>
      </c>
      <c r="O884" s="4">
        <f ca="1"/>
        <v>0</v>
      </c>
      <c r="P884" s="13">
        <f ca="1"/>
        <v>0</v>
      </c>
    </row>
    <row r="885" spans="13:16">
      <c r="N885" s="4" t="e">
        <f ca="1"/>
        <v>#VALUE!</v>
      </c>
      <c r="O885" s="4">
        <f ca="1"/>
        <v>0</v>
      </c>
      <c r="P885" s="13">
        <f ca="1"/>
        <v>0</v>
      </c>
    </row>
    <row r="886" spans="13:16">
      <c r="N886" s="4" t="e">
        <f ca="1"/>
        <v>#VALUE!</v>
      </c>
      <c r="O886" s="4">
        <f ca="1"/>
        <v>0</v>
      </c>
      <c r="P886" s="13">
        <f ca="1"/>
        <v>0</v>
      </c>
    </row>
    <row r="887" spans="13:16">
      <c r="N887" s="4" t="e">
        <f ca="1"/>
        <v>#VALUE!</v>
      </c>
      <c r="O887" s="4">
        <f ca="1"/>
        <v>0</v>
      </c>
      <c r="P887" s="13">
        <f ca="1"/>
        <v>0</v>
      </c>
    </row>
    <row r="888" spans="13:16">
      <c r="N888" s="4" t="e">
        <f ca="1"/>
        <v>#VALUE!</v>
      </c>
      <c r="O888" s="4">
        <f ca="1"/>
        <v>0</v>
      </c>
      <c r="P888" s="13">
        <f ca="1"/>
        <v>0</v>
      </c>
    </row>
    <row r="889" spans="13:16">
      <c r="N889" s="4" t="e">
        <f ca="1"/>
        <v>#VALUE!</v>
      </c>
      <c r="O889" s="4">
        <f ca="1"/>
        <v>0</v>
      </c>
      <c r="P889" s="13">
        <f ca="1"/>
        <v>0</v>
      </c>
    </row>
    <row r="890" spans="13:16">
      <c r="N890" s="4" t="e">
        <f ca="1"/>
        <v>#VALUE!</v>
      </c>
      <c r="O890" s="4">
        <f ca="1"/>
        <v>0</v>
      </c>
      <c r="P890" s="13">
        <f ca="1"/>
        <v>0</v>
      </c>
    </row>
    <row r="891" spans="13:16">
      <c r="N891" s="4" t="e">
        <f ca="1"/>
        <v>#VALUE!</v>
      </c>
      <c r="O891" s="4">
        <f ca="1"/>
        <v>0</v>
      </c>
      <c r="P891" s="13">
        <f ca="1"/>
        <v>0</v>
      </c>
    </row>
    <row r="892" spans="13:16">
      <c r="N892" s="4" t="e">
        <f ca="1"/>
        <v>#VALUE!</v>
      </c>
      <c r="O892" s="4">
        <f ca="1"/>
        <v>0</v>
      </c>
      <c r="P892" s="13">
        <f ca="1"/>
        <v>0</v>
      </c>
    </row>
    <row r="893" spans="13:16">
      <c r="N893" s="4" t="e">
        <f ca="1"/>
        <v>#VALUE!</v>
      </c>
      <c r="O893" s="4">
        <f ca="1"/>
        <v>0</v>
      </c>
      <c r="P893" s="13">
        <f ca="1"/>
        <v>0</v>
      </c>
    </row>
    <row r="894" spans="13:16">
      <c r="N894" s="4" t="e">
        <f ca="1"/>
        <v>#VALUE!</v>
      </c>
      <c r="O894" s="4">
        <f ca="1"/>
        <v>0</v>
      </c>
      <c r="P894" s="13">
        <f ca="1"/>
        <v>0</v>
      </c>
    </row>
    <row r="895" spans="13:16">
      <c r="N895" s="4" t="e">
        <f ca="1"/>
        <v>#VALUE!</v>
      </c>
      <c r="O895" s="4">
        <f ca="1"/>
        <v>0</v>
      </c>
      <c r="P895" s="13">
        <f ca="1"/>
        <v>0</v>
      </c>
    </row>
    <row r="896" spans="13:16">
      <c r="N896" s="4" t="e">
        <f ca="1"/>
        <v>#VALUE!</v>
      </c>
      <c r="O896" s="4">
        <f ca="1"/>
        <v>0</v>
      </c>
      <c r="P896" s="13">
        <f ca="1"/>
        <v>0</v>
      </c>
    </row>
    <row r="897" spans="14:16">
      <c r="N897" s="4" t="e">
        <f ca="1"/>
        <v>#VALUE!</v>
      </c>
      <c r="O897" s="4">
        <f ca="1"/>
        <v>0</v>
      </c>
      <c r="P897" s="13">
        <f ca="1"/>
        <v>0</v>
      </c>
    </row>
    <row r="898" spans="14:16">
      <c r="N898" s="4" t="e">
        <f ca="1"/>
        <v>#VALUE!</v>
      </c>
      <c r="O898" s="4">
        <f ca="1"/>
        <v>0</v>
      </c>
      <c r="P898" s="13">
        <f ca="1"/>
        <v>0</v>
      </c>
    </row>
    <row r="899" spans="14:16">
      <c r="N899" s="4" t="e">
        <f ca="1"/>
        <v>#VALUE!</v>
      </c>
      <c r="O899" s="4">
        <f ca="1"/>
        <v>0</v>
      </c>
      <c r="P899" s="13">
        <f ca="1"/>
        <v>0</v>
      </c>
    </row>
    <row r="900" spans="14:16">
      <c r="N900" s="4" t="e">
        <f ca="1"/>
        <v>#VALUE!</v>
      </c>
      <c r="O900" s="4">
        <f ca="1"/>
        <v>0</v>
      </c>
      <c r="P900" s="13">
        <f ca="1"/>
        <v>0</v>
      </c>
    </row>
    <row r="901" spans="14:16">
      <c r="N901" s="4" t="e">
        <f ca="1"/>
        <v>#VALUE!</v>
      </c>
      <c r="O901" s="4">
        <f ca="1"/>
        <v>0</v>
      </c>
      <c r="P901" s="13">
        <f ca="1"/>
        <v>0</v>
      </c>
    </row>
    <row r="902" spans="14:16">
      <c r="N902" s="4" t="e">
        <f ca="1"/>
        <v>#VALUE!</v>
      </c>
      <c r="O902" s="4">
        <f ca="1"/>
        <v>0</v>
      </c>
      <c r="P902" s="13">
        <f ca="1"/>
        <v>0</v>
      </c>
    </row>
    <row r="903" spans="14:16">
      <c r="N903" s="4" t="e">
        <f ca="1"/>
        <v>#VALUE!</v>
      </c>
      <c r="O903" s="4">
        <f ca="1"/>
        <v>0</v>
      </c>
      <c r="P903" s="13">
        <f ca="1"/>
        <v>0</v>
      </c>
    </row>
    <row r="904" spans="14:16">
      <c r="N904" s="4" t="e">
        <f ca="1"/>
        <v>#VALUE!</v>
      </c>
      <c r="O904" s="4">
        <f ca="1"/>
        <v>0</v>
      </c>
      <c r="P904" s="13">
        <f ca="1"/>
        <v>0</v>
      </c>
    </row>
    <row r="905" spans="14:16">
      <c r="N905" s="4" t="e">
        <f ca="1"/>
        <v>#VALUE!</v>
      </c>
      <c r="O905" s="4">
        <f ca="1"/>
        <v>0</v>
      </c>
      <c r="P905" s="13">
        <f ca="1"/>
        <v>0</v>
      </c>
    </row>
    <row r="906" spans="14:16">
      <c r="N906" s="4" t="e">
        <f ca="1"/>
        <v>#VALUE!</v>
      </c>
      <c r="O906" s="4">
        <f ca="1"/>
        <v>0</v>
      </c>
      <c r="P906" s="13">
        <f ca="1"/>
        <v>0</v>
      </c>
    </row>
    <row r="907" spans="14:16">
      <c r="N907" s="4" t="e">
        <f ca="1"/>
        <v>#VALUE!</v>
      </c>
      <c r="O907" s="4">
        <f ca="1"/>
        <v>0</v>
      </c>
      <c r="P907" s="13">
        <f ca="1"/>
        <v>0</v>
      </c>
    </row>
    <row r="908" spans="14:16">
      <c r="N908" s="4" t="e">
        <f ca="1"/>
        <v>#VALUE!</v>
      </c>
      <c r="O908" s="4">
        <f ca="1"/>
        <v>0</v>
      </c>
      <c r="P908" s="13">
        <f ca="1"/>
        <v>0</v>
      </c>
    </row>
    <row r="909" spans="14:16">
      <c r="N909" s="4" t="e">
        <f ca="1"/>
        <v>#VALUE!</v>
      </c>
      <c r="O909" s="4">
        <f ca="1"/>
        <v>0</v>
      </c>
      <c r="P909" s="13">
        <f ca="1"/>
        <v>0</v>
      </c>
    </row>
    <row r="910" spans="14:16">
      <c r="N910" s="4" t="e">
        <f ca="1"/>
        <v>#VALUE!</v>
      </c>
      <c r="O910" s="4">
        <f ca="1"/>
        <v>0</v>
      </c>
      <c r="P910" s="13">
        <f ca="1"/>
        <v>0</v>
      </c>
    </row>
    <row r="911" spans="14:16">
      <c r="N911" s="4" t="e">
        <f ca="1"/>
        <v>#VALUE!</v>
      </c>
      <c r="O911" s="4">
        <f ca="1"/>
        <v>0</v>
      </c>
      <c r="P911" s="13">
        <f ca="1"/>
        <v>0</v>
      </c>
    </row>
    <row r="912" spans="14:16">
      <c r="N912" s="4" t="e">
        <f ca="1"/>
        <v>#VALUE!</v>
      </c>
      <c r="O912" s="4">
        <f ca="1"/>
        <v>0</v>
      </c>
      <c r="P912" s="13">
        <f ca="1"/>
        <v>0</v>
      </c>
    </row>
    <row r="913" spans="14:16">
      <c r="N913" s="4" t="e">
        <f ca="1"/>
        <v>#VALUE!</v>
      </c>
      <c r="O913" s="4">
        <f ca="1"/>
        <v>0</v>
      </c>
      <c r="P913" s="13">
        <f ca="1"/>
        <v>0</v>
      </c>
    </row>
    <row r="914" spans="14:16">
      <c r="N914" s="4" t="e">
        <f ca="1"/>
        <v>#VALUE!</v>
      </c>
      <c r="O914" s="4">
        <f ca="1"/>
        <v>0</v>
      </c>
      <c r="P914" s="13">
        <f ca="1"/>
        <v>0</v>
      </c>
    </row>
    <row r="915" spans="14:16">
      <c r="N915" s="4" t="e">
        <f ca="1"/>
        <v>#VALUE!</v>
      </c>
      <c r="O915" s="4">
        <f ca="1"/>
        <v>0</v>
      </c>
      <c r="P915" s="13">
        <f ca="1"/>
        <v>0</v>
      </c>
    </row>
    <row r="916" spans="14:16">
      <c r="N916" s="4" t="e">
        <f ca="1"/>
        <v>#VALUE!</v>
      </c>
      <c r="O916" s="4">
        <f ca="1"/>
        <v>0</v>
      </c>
      <c r="P916" s="13">
        <f ca="1"/>
        <v>0</v>
      </c>
    </row>
    <row r="917" spans="14:16">
      <c r="N917" s="4" t="e">
        <f ca="1"/>
        <v>#VALUE!</v>
      </c>
      <c r="O917" s="4">
        <f ca="1"/>
        <v>0</v>
      </c>
      <c r="P917" s="13">
        <f ca="1"/>
        <v>0</v>
      </c>
    </row>
    <row r="918" spans="14:16">
      <c r="N918" s="4" t="e">
        <f ca="1"/>
        <v>#VALUE!</v>
      </c>
      <c r="O918" s="4">
        <f ca="1"/>
        <v>0</v>
      </c>
      <c r="P918" s="13">
        <f ca="1"/>
        <v>0</v>
      </c>
    </row>
    <row r="919" spans="14:16">
      <c r="N919" s="4" t="e">
        <f ca="1"/>
        <v>#VALUE!</v>
      </c>
      <c r="O919" s="4">
        <f ca="1"/>
        <v>0</v>
      </c>
      <c r="P919" s="13">
        <f ca="1"/>
        <v>0</v>
      </c>
    </row>
    <row r="920" spans="14:16">
      <c r="N920" s="4" t="e">
        <f ca="1"/>
        <v>#VALUE!</v>
      </c>
      <c r="O920" s="4">
        <f ca="1"/>
        <v>0</v>
      </c>
      <c r="P920" s="13">
        <f ca="1"/>
        <v>0</v>
      </c>
    </row>
    <row r="921" spans="14:16">
      <c r="N921" s="4" t="e">
        <f ca="1"/>
        <v>#VALUE!</v>
      </c>
      <c r="O921" s="4">
        <f ca="1"/>
        <v>0</v>
      </c>
      <c r="P921" s="13">
        <f ca="1"/>
        <v>0</v>
      </c>
    </row>
    <row r="922" spans="14:16">
      <c r="N922" s="4" t="e">
        <f ca="1"/>
        <v>#VALUE!</v>
      </c>
      <c r="O922" s="4">
        <f ca="1"/>
        <v>0</v>
      </c>
      <c r="P922" s="13">
        <f ca="1"/>
        <v>0</v>
      </c>
    </row>
    <row r="923" spans="14:16">
      <c r="N923" s="4" t="e">
        <f ca="1"/>
        <v>#VALUE!</v>
      </c>
      <c r="O923" s="4">
        <f ca="1"/>
        <v>0</v>
      </c>
      <c r="P923" s="13">
        <f ca="1"/>
        <v>0</v>
      </c>
    </row>
    <row r="924" spans="14:16">
      <c r="N924" s="4" t="e">
        <f ca="1"/>
        <v>#VALUE!</v>
      </c>
      <c r="O924" s="4">
        <f ca="1"/>
        <v>0</v>
      </c>
      <c r="P924" s="13">
        <f ca="1"/>
        <v>0</v>
      </c>
    </row>
    <row r="925" spans="14:16">
      <c r="N925" s="4" t="e">
        <f ca="1"/>
        <v>#VALUE!</v>
      </c>
      <c r="O925" s="4">
        <f ca="1"/>
        <v>0</v>
      </c>
      <c r="P925" s="13">
        <f ca="1"/>
        <v>0</v>
      </c>
    </row>
    <row r="926" spans="14:16">
      <c r="N926" s="4" t="e">
        <f ca="1"/>
        <v>#VALUE!</v>
      </c>
      <c r="O926" s="4">
        <f ca="1"/>
        <v>0</v>
      </c>
      <c r="P926" s="13">
        <f ca="1"/>
        <v>0</v>
      </c>
    </row>
    <row r="927" spans="14:16">
      <c r="N927" s="4" t="e">
        <f ca="1"/>
        <v>#VALUE!</v>
      </c>
      <c r="O927" s="4">
        <f ca="1"/>
        <v>0</v>
      </c>
      <c r="P927" s="13">
        <f ca="1"/>
        <v>0</v>
      </c>
    </row>
    <row r="928" spans="14:16">
      <c r="N928" s="4" t="e">
        <f ca="1"/>
        <v>#VALUE!</v>
      </c>
      <c r="O928" s="4">
        <f ca="1"/>
        <v>0</v>
      </c>
      <c r="P928" s="13">
        <f ca="1"/>
        <v>0</v>
      </c>
    </row>
    <row r="929" spans="14:16">
      <c r="N929" s="4" t="e">
        <f ca="1"/>
        <v>#VALUE!</v>
      </c>
      <c r="O929" s="4">
        <f ca="1"/>
        <v>0</v>
      </c>
      <c r="P929" s="13">
        <f ca="1"/>
        <v>0</v>
      </c>
    </row>
    <row r="930" spans="14:16">
      <c r="N930" s="4" t="e">
        <f ca="1"/>
        <v>#VALUE!</v>
      </c>
      <c r="O930" s="4">
        <f ca="1"/>
        <v>0</v>
      </c>
      <c r="P930" s="13">
        <f ca="1"/>
        <v>0</v>
      </c>
    </row>
    <row r="931" spans="14:16">
      <c r="N931" s="4" t="e">
        <f ca="1"/>
        <v>#VALUE!</v>
      </c>
      <c r="O931" s="4">
        <f ca="1"/>
        <v>0</v>
      </c>
      <c r="P931" s="13">
        <f ca="1"/>
        <v>0</v>
      </c>
    </row>
    <row r="932" spans="14:16">
      <c r="N932" s="4" t="e">
        <f ca="1"/>
        <v>#VALUE!</v>
      </c>
      <c r="O932" s="4">
        <f ca="1"/>
        <v>0</v>
      </c>
      <c r="P932" s="13">
        <f ca="1"/>
        <v>0</v>
      </c>
    </row>
    <row r="933" spans="14:16">
      <c r="N933" s="4" t="e">
        <f ca="1"/>
        <v>#VALUE!</v>
      </c>
      <c r="O933" s="4">
        <f ca="1"/>
        <v>0</v>
      </c>
      <c r="P933" s="13">
        <f ca="1"/>
        <v>0</v>
      </c>
    </row>
    <row r="934" spans="14:16">
      <c r="N934" s="4" t="e">
        <f ca="1"/>
        <v>#VALUE!</v>
      </c>
      <c r="O934" s="4">
        <f ca="1"/>
        <v>0</v>
      </c>
      <c r="P934" s="13">
        <f ca="1"/>
        <v>0</v>
      </c>
    </row>
    <row r="935" spans="14:16">
      <c r="N935" s="4" t="e">
        <f ca="1"/>
        <v>#VALUE!</v>
      </c>
      <c r="O935" s="4">
        <f ca="1"/>
        <v>0</v>
      </c>
      <c r="P935" s="13">
        <f ca="1"/>
        <v>0</v>
      </c>
    </row>
    <row r="936" spans="14:16">
      <c r="N936" s="4" t="e">
        <f ca="1"/>
        <v>#VALUE!</v>
      </c>
      <c r="O936" s="4">
        <f ca="1"/>
        <v>0</v>
      </c>
      <c r="P936" s="13">
        <f ca="1"/>
        <v>0</v>
      </c>
    </row>
    <row r="937" spans="14:16">
      <c r="N937" s="4" t="e">
        <f ca="1"/>
        <v>#VALUE!</v>
      </c>
      <c r="O937" s="4">
        <f ca="1"/>
        <v>0</v>
      </c>
      <c r="P937" s="13">
        <f ca="1"/>
        <v>0</v>
      </c>
    </row>
    <row r="938" spans="14:16">
      <c r="N938" s="4" t="e">
        <f ca="1"/>
        <v>#VALUE!</v>
      </c>
      <c r="O938" s="4">
        <f ca="1"/>
        <v>0</v>
      </c>
      <c r="P938" s="13">
        <f ca="1"/>
        <v>0</v>
      </c>
    </row>
    <row r="939" spans="14:16">
      <c r="N939" s="4" t="e">
        <f ca="1"/>
        <v>#VALUE!</v>
      </c>
      <c r="O939" s="4">
        <f ca="1"/>
        <v>0</v>
      </c>
      <c r="P939" s="13">
        <f ca="1"/>
        <v>0</v>
      </c>
    </row>
    <row r="940" spans="14:16">
      <c r="N940" s="4" t="e">
        <f ca="1"/>
        <v>#VALUE!</v>
      </c>
      <c r="O940" s="4">
        <f ca="1"/>
        <v>0</v>
      </c>
      <c r="P940" s="13">
        <f ca="1"/>
        <v>0</v>
      </c>
    </row>
    <row r="941" spans="14:16">
      <c r="N941" s="4" t="e">
        <f ca="1"/>
        <v>#VALUE!</v>
      </c>
      <c r="O941" s="4">
        <f ca="1"/>
        <v>0</v>
      </c>
      <c r="P941" s="13">
        <f ca="1"/>
        <v>0</v>
      </c>
    </row>
    <row r="942" spans="14:16">
      <c r="N942" s="4" t="e">
        <f ca="1"/>
        <v>#VALUE!</v>
      </c>
      <c r="O942" s="4">
        <f ca="1"/>
        <v>0</v>
      </c>
      <c r="P942" s="13">
        <f ca="1"/>
        <v>0</v>
      </c>
    </row>
    <row r="943" spans="14:16">
      <c r="N943" s="4" t="e">
        <f ca="1"/>
        <v>#VALUE!</v>
      </c>
      <c r="O943" s="4">
        <f ca="1"/>
        <v>0</v>
      </c>
      <c r="P943" s="13">
        <f ca="1"/>
        <v>0</v>
      </c>
    </row>
    <row r="944" spans="14:16">
      <c r="N944" s="4" t="e">
        <f ca="1"/>
        <v>#VALUE!</v>
      </c>
      <c r="O944" s="4">
        <f ca="1"/>
        <v>0</v>
      </c>
      <c r="P944" s="13">
        <f ca="1"/>
        <v>0</v>
      </c>
    </row>
    <row r="945" spans="14:16">
      <c r="N945" s="4" t="e">
        <f ca="1"/>
        <v>#VALUE!</v>
      </c>
      <c r="O945" s="4">
        <f ca="1"/>
        <v>0</v>
      </c>
      <c r="P945" s="13">
        <f ca="1"/>
        <v>0</v>
      </c>
    </row>
    <row r="946" spans="14:16">
      <c r="N946" s="4" t="e">
        <f ca="1"/>
        <v>#VALUE!</v>
      </c>
      <c r="O946" s="4">
        <f ca="1"/>
        <v>0</v>
      </c>
      <c r="P946" s="13">
        <f ca="1"/>
        <v>0</v>
      </c>
    </row>
    <row r="947" spans="14:16">
      <c r="N947" s="4" t="e">
        <f ca="1"/>
        <v>#VALUE!</v>
      </c>
      <c r="O947" s="4">
        <f ca="1"/>
        <v>0</v>
      </c>
      <c r="P947" s="13">
        <f ca="1"/>
        <v>0</v>
      </c>
    </row>
    <row r="948" spans="14:16">
      <c r="N948" s="4" t="e">
        <f ca="1"/>
        <v>#VALUE!</v>
      </c>
      <c r="O948" s="4">
        <f ca="1"/>
        <v>0</v>
      </c>
      <c r="P948" s="13">
        <f ca="1"/>
        <v>0</v>
      </c>
    </row>
    <row r="949" spans="14:16">
      <c r="N949" s="4" t="e">
        <f ca="1"/>
        <v>#VALUE!</v>
      </c>
      <c r="O949" s="4">
        <f ca="1"/>
        <v>0</v>
      </c>
      <c r="P949" s="13">
        <f ca="1"/>
        <v>0</v>
      </c>
    </row>
    <row r="950" spans="14:16">
      <c r="N950" s="4" t="e">
        <f ca="1"/>
        <v>#VALUE!</v>
      </c>
      <c r="O950" s="4">
        <f ca="1"/>
        <v>0</v>
      </c>
      <c r="P950" s="13">
        <f ca="1"/>
        <v>0</v>
      </c>
    </row>
    <row r="951" spans="14:16">
      <c r="N951" s="4" t="e">
        <f ca="1"/>
        <v>#VALUE!</v>
      </c>
      <c r="O951" s="4">
        <f ca="1"/>
        <v>0</v>
      </c>
      <c r="P951" s="13">
        <f ca="1"/>
        <v>0</v>
      </c>
    </row>
    <row r="952" spans="14:16">
      <c r="N952" s="4" t="e">
        <f ca="1"/>
        <v>#VALUE!</v>
      </c>
      <c r="O952" s="4">
        <f ca="1"/>
        <v>0</v>
      </c>
      <c r="P952" s="13">
        <f ca="1"/>
        <v>0</v>
      </c>
    </row>
    <row r="953" spans="14:16">
      <c r="N953" s="4" t="e">
        <f ca="1"/>
        <v>#VALUE!</v>
      </c>
      <c r="O953" s="4">
        <f ca="1"/>
        <v>0</v>
      </c>
      <c r="P953" s="13">
        <f ca="1"/>
        <v>0</v>
      </c>
    </row>
    <row r="954" spans="14:16">
      <c r="N954" s="4" t="e">
        <f ca="1"/>
        <v>#VALUE!</v>
      </c>
      <c r="O954" s="4">
        <f ca="1"/>
        <v>0</v>
      </c>
      <c r="P954" s="13">
        <f ca="1"/>
        <v>0</v>
      </c>
    </row>
    <row r="955" spans="14:16">
      <c r="N955" s="4" t="e">
        <f ca="1"/>
        <v>#VALUE!</v>
      </c>
      <c r="O955" s="4">
        <f ca="1"/>
        <v>0</v>
      </c>
      <c r="P955" s="13">
        <f ca="1"/>
        <v>0</v>
      </c>
    </row>
    <row r="956" spans="14:16">
      <c r="N956" s="4" t="e">
        <f ca="1"/>
        <v>#VALUE!</v>
      </c>
      <c r="O956" s="4">
        <f ca="1"/>
        <v>0</v>
      </c>
      <c r="P956" s="13">
        <f ca="1"/>
        <v>0</v>
      </c>
    </row>
    <row r="957" spans="14:16">
      <c r="N957" s="4" t="e">
        <f ca="1"/>
        <v>#VALUE!</v>
      </c>
      <c r="O957" s="4">
        <f ca="1"/>
        <v>0</v>
      </c>
      <c r="P957" s="13">
        <f ca="1"/>
        <v>0</v>
      </c>
    </row>
    <row r="958" spans="14:16">
      <c r="N958" s="4" t="e">
        <f ca="1"/>
        <v>#VALUE!</v>
      </c>
      <c r="O958" s="4">
        <f ca="1"/>
        <v>0</v>
      </c>
      <c r="P958" s="13">
        <f ca="1"/>
        <v>0</v>
      </c>
    </row>
    <row r="959" spans="14:16">
      <c r="N959" s="4" t="e">
        <f ca="1"/>
        <v>#VALUE!</v>
      </c>
      <c r="O959" s="4">
        <f ca="1"/>
        <v>0</v>
      </c>
      <c r="P959" s="13">
        <f ca="1"/>
        <v>0</v>
      </c>
    </row>
    <row r="960" spans="14:16">
      <c r="N960" s="4" t="e">
        <f ca="1"/>
        <v>#VALUE!</v>
      </c>
      <c r="O960" s="4">
        <f ca="1"/>
        <v>0</v>
      </c>
      <c r="P960" s="13">
        <f ca="1"/>
        <v>0</v>
      </c>
    </row>
    <row r="961" spans="14:16">
      <c r="N961" s="4" t="e">
        <f ca="1"/>
        <v>#VALUE!</v>
      </c>
      <c r="O961" s="4">
        <f ca="1"/>
        <v>0</v>
      </c>
      <c r="P961" s="13">
        <f ca="1"/>
        <v>0</v>
      </c>
    </row>
    <row r="962" spans="14:16">
      <c r="N962" s="4" t="e">
        <f ca="1"/>
        <v>#VALUE!</v>
      </c>
      <c r="O962" s="4">
        <f ca="1"/>
        <v>0</v>
      </c>
      <c r="P962" s="13">
        <f ca="1"/>
        <v>0</v>
      </c>
    </row>
    <row r="963" spans="14:16">
      <c r="N963" s="4" t="e">
        <f ca="1"/>
        <v>#VALUE!</v>
      </c>
      <c r="O963" s="4">
        <f ca="1"/>
        <v>0</v>
      </c>
      <c r="P963" s="13">
        <f ca="1"/>
        <v>0</v>
      </c>
    </row>
    <row r="964" spans="14:16">
      <c r="N964" s="4" t="e">
        <f ca="1"/>
        <v>#VALUE!</v>
      </c>
      <c r="O964" s="4">
        <f ca="1"/>
        <v>0</v>
      </c>
      <c r="P964" s="13">
        <f ca="1"/>
        <v>0</v>
      </c>
    </row>
    <row r="965" spans="14:16">
      <c r="N965" s="4" t="e">
        <f ca="1"/>
        <v>#VALUE!</v>
      </c>
      <c r="O965" s="4">
        <f ca="1"/>
        <v>0</v>
      </c>
      <c r="P965" s="13">
        <f ca="1"/>
        <v>0</v>
      </c>
    </row>
    <row r="966" spans="14:16">
      <c r="N966" s="4" t="e">
        <f ca="1"/>
        <v>#VALUE!</v>
      </c>
      <c r="O966" s="4">
        <f ca="1"/>
        <v>0</v>
      </c>
      <c r="P966" s="13">
        <f ca="1"/>
        <v>0</v>
      </c>
    </row>
    <row r="967" spans="14:16">
      <c r="N967" s="4" t="e">
        <f ca="1"/>
        <v>#VALUE!</v>
      </c>
      <c r="O967" s="4">
        <f ca="1"/>
        <v>0</v>
      </c>
      <c r="P967" s="13">
        <f ca="1"/>
        <v>0</v>
      </c>
    </row>
    <row r="968" spans="14:16">
      <c r="N968" s="4" t="e">
        <f ca="1"/>
        <v>#VALUE!</v>
      </c>
      <c r="O968" s="4">
        <f ca="1"/>
        <v>0</v>
      </c>
      <c r="P968" s="13">
        <f ca="1"/>
        <v>0</v>
      </c>
    </row>
    <row r="969" spans="14:16">
      <c r="N969" s="4" t="e">
        <f ca="1"/>
        <v>#VALUE!</v>
      </c>
      <c r="O969" s="4">
        <f ca="1"/>
        <v>0</v>
      </c>
      <c r="P969" s="13">
        <f ca="1"/>
        <v>0</v>
      </c>
    </row>
    <row r="970" spans="14:16">
      <c r="N970" s="4" t="e">
        <f ca="1"/>
        <v>#VALUE!</v>
      </c>
      <c r="O970" s="4">
        <f ca="1"/>
        <v>0</v>
      </c>
      <c r="P970" s="13">
        <f ca="1"/>
        <v>0</v>
      </c>
    </row>
    <row r="971" spans="14:16">
      <c r="N971" s="4" t="e">
        <f ca="1"/>
        <v>#VALUE!</v>
      </c>
      <c r="O971" s="4">
        <f ca="1"/>
        <v>0</v>
      </c>
      <c r="P971" s="13">
        <f ca="1"/>
        <v>0</v>
      </c>
    </row>
    <row r="972" spans="14:16">
      <c r="N972" s="4" t="e">
        <f ca="1"/>
        <v>#VALUE!</v>
      </c>
      <c r="O972" s="4">
        <f ca="1"/>
        <v>0</v>
      </c>
      <c r="P972" s="13">
        <f ca="1"/>
        <v>0</v>
      </c>
    </row>
    <row r="973" spans="14:16">
      <c r="N973" s="4" t="e">
        <f ca="1"/>
        <v>#VALUE!</v>
      </c>
      <c r="O973" s="4">
        <f ca="1"/>
        <v>0</v>
      </c>
      <c r="P973" s="13">
        <f ca="1"/>
        <v>0</v>
      </c>
    </row>
    <row r="974" spans="14:16">
      <c r="N974" s="4" t="e">
        <f ca="1"/>
        <v>#VALUE!</v>
      </c>
      <c r="O974" s="4">
        <f ca="1"/>
        <v>0</v>
      </c>
      <c r="P974" s="13">
        <f ca="1"/>
        <v>0</v>
      </c>
    </row>
    <row r="975" spans="14:16">
      <c r="N975" s="4" t="e">
        <f ca="1"/>
        <v>#VALUE!</v>
      </c>
      <c r="O975" s="4">
        <f ca="1"/>
        <v>0</v>
      </c>
      <c r="P975" s="13">
        <f ca="1"/>
        <v>0</v>
      </c>
    </row>
    <row r="976" spans="14:16">
      <c r="N976" s="4" t="e">
        <f ca="1"/>
        <v>#VALUE!</v>
      </c>
      <c r="O976" s="4">
        <f ca="1"/>
        <v>0</v>
      </c>
      <c r="P976" s="13">
        <f ca="1"/>
        <v>0</v>
      </c>
    </row>
    <row r="977" spans="14:16">
      <c r="N977" s="4" t="e">
        <f ca="1"/>
        <v>#VALUE!</v>
      </c>
      <c r="O977" s="4">
        <f ca="1"/>
        <v>0</v>
      </c>
      <c r="P977" s="13">
        <f ca="1"/>
        <v>0</v>
      </c>
    </row>
    <row r="978" spans="14:16">
      <c r="N978" s="4" t="e">
        <f ca="1"/>
        <v>#VALUE!</v>
      </c>
      <c r="O978" s="4">
        <f ca="1"/>
        <v>0</v>
      </c>
      <c r="P978" s="13">
        <f ca="1"/>
        <v>0</v>
      </c>
    </row>
    <row r="979" spans="14:16">
      <c r="N979" s="4" t="e">
        <f ca="1"/>
        <v>#VALUE!</v>
      </c>
      <c r="O979" s="4">
        <f ca="1"/>
        <v>0</v>
      </c>
      <c r="P979" s="13">
        <f ca="1"/>
        <v>0</v>
      </c>
    </row>
    <row r="980" spans="14:16">
      <c r="N980" s="4" t="e">
        <f ca="1"/>
        <v>#VALUE!</v>
      </c>
      <c r="O980" s="4">
        <f ca="1"/>
        <v>0</v>
      </c>
      <c r="P980" s="13">
        <f ca="1"/>
        <v>0</v>
      </c>
    </row>
    <row r="981" spans="14:16">
      <c r="N981" s="4" t="e">
        <f ca="1"/>
        <v>#VALUE!</v>
      </c>
      <c r="O981" s="4">
        <f ca="1"/>
        <v>0</v>
      </c>
      <c r="P981" s="13">
        <f ca="1"/>
        <v>0</v>
      </c>
    </row>
    <row r="982" spans="14:16">
      <c r="N982" s="4" t="e">
        <f ca="1"/>
        <v>#VALUE!</v>
      </c>
      <c r="O982" s="4">
        <f ca="1"/>
        <v>0</v>
      </c>
      <c r="P982" s="13">
        <f ca="1"/>
        <v>0</v>
      </c>
    </row>
    <row r="983" spans="14:16">
      <c r="N983" s="4" t="e">
        <f ca="1"/>
        <v>#VALUE!</v>
      </c>
      <c r="O983" s="4">
        <f ca="1"/>
        <v>0</v>
      </c>
      <c r="P983" s="13">
        <f ca="1"/>
        <v>0</v>
      </c>
    </row>
    <row r="984" spans="14:16">
      <c r="N984" s="4" t="e">
        <f ca="1"/>
        <v>#VALUE!</v>
      </c>
      <c r="O984" s="4">
        <f ca="1"/>
        <v>0</v>
      </c>
      <c r="P984" s="13">
        <f ca="1"/>
        <v>0</v>
      </c>
    </row>
    <row r="985" spans="14:16">
      <c r="N985" s="4" t="e">
        <f ca="1"/>
        <v>#VALUE!</v>
      </c>
      <c r="O985" s="4">
        <f ca="1"/>
        <v>0</v>
      </c>
      <c r="P985" s="13">
        <f ca="1"/>
        <v>0</v>
      </c>
    </row>
    <row r="986" spans="14:16">
      <c r="N986" s="4" t="e">
        <f ca="1"/>
        <v>#VALUE!</v>
      </c>
      <c r="O986" s="4">
        <f ca="1"/>
        <v>0</v>
      </c>
      <c r="P986" s="13">
        <f ca="1"/>
        <v>0</v>
      </c>
    </row>
    <row r="987" spans="14:16">
      <c r="N987" s="4" t="e">
        <f ca="1"/>
        <v>#VALUE!</v>
      </c>
      <c r="O987" s="4">
        <f ca="1"/>
        <v>0</v>
      </c>
      <c r="P987" s="13">
        <f ca="1"/>
        <v>0</v>
      </c>
    </row>
    <row r="988" spans="14:16">
      <c r="N988" s="4" t="e">
        <f ca="1"/>
        <v>#VALUE!</v>
      </c>
      <c r="O988" s="4">
        <f ca="1"/>
        <v>0</v>
      </c>
      <c r="P988" s="13">
        <f ca="1"/>
        <v>0</v>
      </c>
    </row>
    <row r="989" spans="14:16">
      <c r="N989" s="4" t="e">
        <f ca="1"/>
        <v>#VALUE!</v>
      </c>
      <c r="O989" s="4">
        <f ca="1"/>
        <v>0</v>
      </c>
      <c r="P989" s="13">
        <f ca="1"/>
        <v>0</v>
      </c>
    </row>
    <row r="990" spans="14:16">
      <c r="N990" s="4" t="e">
        <f ca="1"/>
        <v>#VALUE!</v>
      </c>
      <c r="O990" s="4">
        <f ca="1"/>
        <v>0</v>
      </c>
      <c r="P990" s="13">
        <f ca="1"/>
        <v>0</v>
      </c>
    </row>
    <row r="991" spans="14:16">
      <c r="N991" s="4" t="e">
        <f ca="1"/>
        <v>#VALUE!</v>
      </c>
      <c r="O991" s="4">
        <f ca="1"/>
        <v>0</v>
      </c>
      <c r="P991" s="13">
        <f ca="1"/>
        <v>0</v>
      </c>
    </row>
    <row r="992" spans="14:16">
      <c r="N992" s="4" t="e">
        <f ca="1"/>
        <v>#VALUE!</v>
      </c>
      <c r="O992" s="4">
        <f ca="1"/>
        <v>0</v>
      </c>
      <c r="P992" s="13">
        <f ca="1"/>
        <v>0</v>
      </c>
    </row>
    <row r="993" spans="14:16">
      <c r="N993" s="4" t="e">
        <f ca="1"/>
        <v>#VALUE!</v>
      </c>
      <c r="O993" s="4">
        <f ca="1"/>
        <v>0</v>
      </c>
      <c r="P993" s="13">
        <f ca="1"/>
        <v>0</v>
      </c>
    </row>
    <row r="994" spans="14:16">
      <c r="N994" s="4" t="e">
        <f ca="1"/>
        <v>#VALUE!</v>
      </c>
      <c r="O994" s="4">
        <f ca="1"/>
        <v>0</v>
      </c>
      <c r="P994" s="13">
        <f ca="1"/>
        <v>0</v>
      </c>
    </row>
    <row r="995" spans="14:16">
      <c r="N995" s="4" t="e">
        <f ca="1"/>
        <v>#VALUE!</v>
      </c>
      <c r="O995" s="4">
        <f ca="1"/>
        <v>0</v>
      </c>
      <c r="P995" s="13">
        <f ca="1"/>
        <v>0</v>
      </c>
    </row>
    <row r="996" spans="14:16">
      <c r="N996" s="4" t="e">
        <f ca="1"/>
        <v>#VALUE!</v>
      </c>
      <c r="O996" s="4">
        <f ca="1"/>
        <v>0</v>
      </c>
      <c r="P996" s="13">
        <f ca="1"/>
        <v>0</v>
      </c>
    </row>
    <row r="997" spans="14:16">
      <c r="N997" s="4" t="e">
        <f ca="1"/>
        <v>#VALUE!</v>
      </c>
      <c r="O997" s="4">
        <f ca="1"/>
        <v>0</v>
      </c>
      <c r="P997" s="13">
        <f ca="1"/>
        <v>0</v>
      </c>
    </row>
    <row r="998" spans="14:16">
      <c r="N998" s="4" t="e">
        <f ca="1"/>
        <v>#VALUE!</v>
      </c>
      <c r="O998" s="4">
        <f ca="1"/>
        <v>0</v>
      </c>
      <c r="P998" s="13">
        <f ca="1"/>
        <v>0</v>
      </c>
    </row>
    <row r="999" spans="14:16">
      <c r="N999" s="4" t="e">
        <f ca="1"/>
        <v>#VALUE!</v>
      </c>
      <c r="O999" s="4">
        <f ca="1"/>
        <v>0</v>
      </c>
      <c r="P999" s="13">
        <f ca="1"/>
        <v>0</v>
      </c>
    </row>
    <row r="1000" spans="14:16">
      <c r="N1000" s="4" t="e">
        <f ca="1"/>
        <v>#VALUE!</v>
      </c>
      <c r="O1000" s="4">
        <f ca="1"/>
        <v>0</v>
      </c>
      <c r="P1000" s="13">
        <f ca="1"/>
        <v>0</v>
      </c>
    </row>
    <row r="1001" spans="14:16">
      <c r="N1001" s="4" t="e">
        <f ca="1"/>
        <v>#VALUE!</v>
      </c>
      <c r="O1001" s="4">
        <f ca="1"/>
        <v>0</v>
      </c>
      <c r="P1001" s="13">
        <f ca="1"/>
        <v>0</v>
      </c>
    </row>
    <row r="1002" spans="14:16">
      <c r="N1002" s="4" t="e">
        <f ca="1"/>
        <v>#VALUE!</v>
      </c>
      <c r="O1002" s="4">
        <f ca="1"/>
        <v>0</v>
      </c>
      <c r="P1002" s="13">
        <f ca="1"/>
        <v>0</v>
      </c>
    </row>
    <row r="1003" spans="14:16">
      <c r="N1003" s="4" t="e">
        <f ca="1"/>
        <v>#VALUE!</v>
      </c>
      <c r="O1003" s="4">
        <f ca="1"/>
        <v>0</v>
      </c>
      <c r="P1003" s="13">
        <f ca="1"/>
        <v>0</v>
      </c>
    </row>
    <row r="1004" spans="14:16">
      <c r="N1004" s="4" t="e">
        <f ca="1"/>
        <v>#VALUE!</v>
      </c>
      <c r="O1004" s="4">
        <f ca="1"/>
        <v>0</v>
      </c>
      <c r="P1004" s="13">
        <f ca="1"/>
        <v>0</v>
      </c>
    </row>
    <row r="1005" spans="14:16">
      <c r="N1005" s="4" t="e">
        <f ca="1"/>
        <v>#VALUE!</v>
      </c>
      <c r="O1005" s="4">
        <f ca="1"/>
        <v>0</v>
      </c>
      <c r="P1005" s="13">
        <f ca="1"/>
        <v>0</v>
      </c>
    </row>
    <row r="1006" spans="14:16">
      <c r="N1006" s="4" t="e">
        <f ca="1"/>
        <v>#VALUE!</v>
      </c>
      <c r="O1006" s="4">
        <f ca="1"/>
        <v>0</v>
      </c>
      <c r="P1006" s="13">
        <f ca="1"/>
        <v>0</v>
      </c>
    </row>
    <row r="1007" spans="14:16">
      <c r="N1007" s="4"/>
      <c r="O1007" s="4">
        <f ca="1"/>
        <v>0</v>
      </c>
      <c r="P1007" s="13">
        <f ca="1"/>
        <v>0</v>
      </c>
    </row>
    <row r="1008" spans="14:16">
      <c r="N1008" s="4"/>
      <c r="O1008" s="4">
        <f ca="1"/>
        <v>0</v>
      </c>
      <c r="P1008" s="13">
        <f ca="1"/>
        <v>0</v>
      </c>
    </row>
    <row r="1009" spans="14:16">
      <c r="N1009" s="4"/>
      <c r="O1009" s="4">
        <f ca="1"/>
        <v>0</v>
      </c>
      <c r="P1009" s="13">
        <f ca="1"/>
        <v>0</v>
      </c>
    </row>
    <row r="1010" spans="14:16">
      <c r="O1010">
        <f ca="1"/>
        <v>0</v>
      </c>
      <c r="P1010" s="13">
        <f ca="1"/>
        <v>0</v>
      </c>
    </row>
    <row r="1011" spans="14:16">
      <c r="O1011">
        <f ca="1"/>
        <v>0</v>
      </c>
      <c r="P1011" s="13">
        <f ca="1"/>
        <v>0</v>
      </c>
    </row>
    <row r="1012" spans="14:16">
      <c r="O1012">
        <f ca="1"/>
        <v>0</v>
      </c>
      <c r="P1012" s="13">
        <f ca="1"/>
        <v>0</v>
      </c>
    </row>
    <row r="1013" spans="14:16">
      <c r="O1013">
        <f ca="1"/>
        <v>0</v>
      </c>
      <c r="P1013" s="13">
        <f ca="1"/>
        <v>0</v>
      </c>
    </row>
    <row r="1014" spans="14:16">
      <c r="O1014">
        <f ca="1"/>
        <v>0</v>
      </c>
      <c r="P1014" s="13">
        <f ca="1"/>
        <v>0</v>
      </c>
    </row>
    <row r="1015" spans="14:16">
      <c r="O1015">
        <f ca="1"/>
        <v>0</v>
      </c>
      <c r="P1015" s="13">
        <f ca="1"/>
        <v>0</v>
      </c>
    </row>
    <row r="1016" spans="14:16">
      <c r="O1016">
        <f ca="1"/>
        <v>0</v>
      </c>
      <c r="P1016" s="13">
        <f ca="1"/>
        <v>0</v>
      </c>
    </row>
    <row r="1017" spans="14:16">
      <c r="O1017">
        <f ca="1"/>
        <v>0</v>
      </c>
      <c r="P1017" s="13">
        <f ca="1"/>
        <v>0</v>
      </c>
    </row>
    <row r="1018" spans="14:16">
      <c r="O1018">
        <f ca="1"/>
        <v>0</v>
      </c>
      <c r="P1018" s="13">
        <f ca="1"/>
        <v>0</v>
      </c>
    </row>
    <row r="1019" spans="14:16">
      <c r="O1019">
        <f ca="1"/>
        <v>0</v>
      </c>
      <c r="P1019" s="13">
        <f ca="1"/>
        <v>0</v>
      </c>
    </row>
    <row r="1020" spans="14:16">
      <c r="O1020">
        <f ca="1"/>
        <v>0</v>
      </c>
      <c r="P1020" s="13">
        <f ca="1"/>
        <v>0</v>
      </c>
    </row>
    <row r="1021" spans="14:16">
      <c r="O1021">
        <f ca="1"/>
        <v>0</v>
      </c>
      <c r="P1021" s="13">
        <f ca="1"/>
        <v>0</v>
      </c>
    </row>
    <row r="1022" spans="14:16">
      <c r="O1022">
        <f ca="1"/>
        <v>0</v>
      </c>
      <c r="P1022" s="13">
        <f ca="1"/>
        <v>0</v>
      </c>
    </row>
  </sheetData>
  <mergeCells count="3">
    <mergeCell ref="B3:H3"/>
    <mergeCell ref="J3:K3"/>
    <mergeCell ref="J12:K12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4ED2F-0948-41BD-9E87-73027884F9BB}">
  <sheetPr codeName="Sheet5"/>
  <dimension ref="B1:BB109"/>
  <sheetViews>
    <sheetView workbookViewId="0">
      <selection activeCell="C3" sqref="C3"/>
    </sheetView>
  </sheetViews>
  <sheetFormatPr defaultRowHeight="14.4"/>
  <cols>
    <col min="2" max="2" width="10.21875" bestFit="1" customWidth="1"/>
    <col min="3" max="3" width="8.21875" customWidth="1"/>
  </cols>
  <sheetData>
    <row r="1" spans="2:54">
      <c r="E1">
        <v>12.985884455415556</v>
      </c>
      <c r="F1">
        <v>12.053018380924485</v>
      </c>
      <c r="G1">
        <v>11.279233321482636</v>
      </c>
      <c r="H1">
        <v>10.587381749191774</v>
      </c>
      <c r="I1">
        <v>9.9480357096375087</v>
      </c>
      <c r="J1">
        <v>9.3460395935757248</v>
      </c>
      <c r="K1">
        <v>8.7722995795145984</v>
      </c>
      <c r="L1">
        <v>8.2208159079821268</v>
      </c>
      <c r="M1">
        <v>7.6873624067125021</v>
      </c>
      <c r="N1">
        <v>7.1688148378539038</v>
      </c>
      <c r="O1">
        <v>6.662775399018722</v>
      </c>
      <c r="P1">
        <v>6.1673473886599259</v>
      </c>
      <c r="Q1">
        <v>5.6809922910332826</v>
      </c>
      <c r="R1">
        <v>5.2024349933999128</v>
      </c>
      <c r="S1">
        <v>4.7305985502285965</v>
      </c>
      <c r="T1">
        <v>4.2645578430381086</v>
      </c>
      <c r="U1">
        <v>3.8035057417420108</v>
      </c>
      <c r="V1">
        <v>3.3467277747324276</v>
      </c>
      <c r="W1">
        <v>2.8935827277077388</v>
      </c>
      <c r="X1">
        <v>2.4434874526540176</v>
      </c>
      <c r="Y1">
        <v>1.9959047097951237</v>
      </c>
      <c r="Z1">
        <v>1.5503332143387705</v>
      </c>
      <c r="AA1">
        <v>1.106299289397183</v>
      </c>
      <c r="AB1">
        <v>0.66334967950829182</v>
      </c>
      <c r="AC1">
        <v>0.22104518164454323</v>
      </c>
      <c r="AD1">
        <v>-0.22104518164454323</v>
      </c>
      <c r="AE1">
        <v>-0.66334967950829182</v>
      </c>
      <c r="AF1">
        <v>-1.106299289397183</v>
      </c>
      <c r="AG1">
        <v>-1.5503332143387705</v>
      </c>
      <c r="AH1">
        <v>-1.9959047097951237</v>
      </c>
      <c r="AI1">
        <v>-2.4434874526540176</v>
      </c>
      <c r="AJ1">
        <v>-2.8935827277077388</v>
      </c>
      <c r="AK1">
        <v>-3.3467277747324276</v>
      </c>
      <c r="AL1">
        <v>-3.8035057417420108</v>
      </c>
      <c r="AM1">
        <v>-4.2645578430381086</v>
      </c>
      <c r="AN1">
        <v>-4.7305985502285965</v>
      </c>
      <c r="AO1">
        <v>-5.2024349933999128</v>
      </c>
      <c r="AP1">
        <v>-5.6809922910332826</v>
      </c>
      <c r="AQ1">
        <v>-6.1673473886599259</v>
      </c>
      <c r="AR1">
        <v>-6.662775399018722</v>
      </c>
      <c r="AS1">
        <v>-7.1688148378539038</v>
      </c>
      <c r="AT1">
        <v>-7.6873624067125021</v>
      </c>
      <c r="AU1">
        <v>-8.2208159079821268</v>
      </c>
      <c r="AV1">
        <v>-8.7722995795145984</v>
      </c>
      <c r="AW1">
        <v>-9.3460395935757248</v>
      </c>
      <c r="AX1">
        <v>-9.9480357096375087</v>
      </c>
      <c r="AY1">
        <v>-10.587381749191774</v>
      </c>
      <c r="AZ1">
        <v>-11.279233321482636</v>
      </c>
      <c r="BA1">
        <v>-12.053018380924485</v>
      </c>
      <c r="BB1">
        <v>-12.985884455415556</v>
      </c>
    </row>
    <row r="2" spans="2:54">
      <c r="B2" t="s">
        <v>11</v>
      </c>
      <c r="C2" s="19">
        <v>0.05</v>
      </c>
    </row>
    <row r="3" spans="2:54">
      <c r="B3" t="s">
        <v>12</v>
      </c>
      <c r="C3">
        <v>100</v>
      </c>
    </row>
    <row r="4" spans="2:54">
      <c r="B4" t="s">
        <v>14</v>
      </c>
      <c r="C4" s="2">
        <v>0.5</v>
      </c>
    </row>
    <row r="5" spans="2:54">
      <c r="B5" t="s">
        <v>13</v>
      </c>
      <c r="C5">
        <v>-2</v>
      </c>
    </row>
    <row r="6" spans="2:54">
      <c r="C6" s="5">
        <f ca="1">NORMSDIST((NORMSINV(C2)-SQRT(C4)*C5)/SQRT(1-C4))</f>
        <v>0.3721462395457571</v>
      </c>
      <c r="E6">
        <f ca="1">C6*C3</f>
        <v>37.214623954575707</v>
      </c>
      <c r="F6">
        <f ca="1">SQRT(C6*(1-C6)*C3)</f>
        <v>4.8337709496593764</v>
      </c>
    </row>
    <row r="8" spans="2:54">
      <c r="C8" t="s">
        <v>15</v>
      </c>
      <c r="D8" t="s">
        <v>16</v>
      </c>
    </row>
    <row r="9" spans="2:54">
      <c r="B9">
        <v>0</v>
      </c>
      <c r="C9">
        <f ca="1">_xlfn.BINOM.DIST(B9,$C$3,$C$6,FALSE)</f>
        <v>6.107310143500401E-21</v>
      </c>
      <c r="D9">
        <f ca="1">NORMDIST(B9,$E$6,$F$6,FALSE)</f>
        <v>1.1109848888200313E-14</v>
      </c>
    </row>
    <row r="10" spans="2:54">
      <c r="B10">
        <f ca="1">B9+1</f>
        <v>1</v>
      </c>
      <c r="C10">
        <f t="shared" ref="C10:C73" ca="1" si="0">_xlfn.BINOM.DIST(B10,$C$3,$C$6,FALSE)</f>
        <v>3.6199711569760886E-19</v>
      </c>
      <c r="D10">
        <f t="shared" ref="D10:D73" ca="1" si="1">NORMDIST(B10,$E$6,$F$6,FALSE)</f>
        <v>5.3472118312268799E-14</v>
      </c>
    </row>
    <row r="11" spans="2:54">
      <c r="B11">
        <f t="shared" ref="B11:B74" ca="1" si="2">B10+1</f>
        <v>2</v>
      </c>
      <c r="C11">
        <f t="shared" ca="1" si="0"/>
        <v>1.0621000866782485E-17</v>
      </c>
      <c r="D11">
        <f t="shared" ca="1" si="1"/>
        <v>2.4658093965307751E-13</v>
      </c>
    </row>
    <row r="12" spans="2:54">
      <c r="B12">
        <f t="shared" ca="1" si="2"/>
        <v>3</v>
      </c>
      <c r="C12">
        <f t="shared" ca="1" si="0"/>
        <v>2.0564843100444065E-16</v>
      </c>
      <c r="D12">
        <f t="shared" ca="1" si="1"/>
        <v>1.0894429533594056E-12</v>
      </c>
    </row>
    <row r="13" spans="2:54">
      <c r="B13">
        <f t="shared" ca="1" si="2"/>
        <v>4</v>
      </c>
      <c r="C13">
        <f t="shared" ca="1" si="0"/>
        <v>2.9559172945414977E-15</v>
      </c>
      <c r="D13">
        <f t="shared" ca="1" si="1"/>
        <v>4.6117139540811304E-12</v>
      </c>
    </row>
    <row r="14" spans="2:54">
      <c r="B14">
        <f t="shared" ca="1" si="2"/>
        <v>5</v>
      </c>
      <c r="C14">
        <f t="shared" ca="1" si="0"/>
        <v>3.3639431086149509E-14</v>
      </c>
      <c r="D14">
        <f t="shared" ca="1" si="1"/>
        <v>1.870394025356887E-11</v>
      </c>
    </row>
    <row r="15" spans="2:54">
      <c r="B15">
        <f t="shared" ca="1" si="2"/>
        <v>6</v>
      </c>
      <c r="C15">
        <f t="shared" ca="1" si="0"/>
        <v>3.1570112711189247E-13</v>
      </c>
      <c r="D15">
        <f t="shared" ca="1" si="1"/>
        <v>7.2680302799914201E-11</v>
      </c>
    </row>
    <row r="16" spans="2:54">
      <c r="B16">
        <f t="shared" ca="1" si="2"/>
        <v>7</v>
      </c>
      <c r="C16">
        <f t="shared" ca="1" si="0"/>
        <v>2.5128182706259558E-12</v>
      </c>
      <c r="D16">
        <f t="shared" ca="1" si="1"/>
        <v>2.7059092438832887E-10</v>
      </c>
    </row>
    <row r="17" spans="2:4">
      <c r="B17">
        <f t="shared" ca="1" si="2"/>
        <v>8</v>
      </c>
      <c r="C17">
        <f t="shared" ca="1" si="0"/>
        <v>1.7314469028202769E-11</v>
      </c>
      <c r="D17">
        <f t="shared" ca="1" si="1"/>
        <v>9.6521175279811002E-10</v>
      </c>
    </row>
    <row r="18" spans="2:4">
      <c r="B18">
        <f t="shared" ca="1" si="2"/>
        <v>9</v>
      </c>
      <c r="C18">
        <f t="shared" ca="1" si="0"/>
        <v>1.0490824719724775E-10</v>
      </c>
      <c r="D18">
        <f t="shared" ca="1" si="1"/>
        <v>3.298715441086459E-9</v>
      </c>
    </row>
    <row r="19" spans="2:4">
      <c r="B19">
        <f t="shared" ca="1" si="2"/>
        <v>10</v>
      </c>
      <c r="C19">
        <f t="shared" ca="1" si="0"/>
        <v>5.6585630376455047E-10</v>
      </c>
      <c r="D19">
        <f t="shared" ca="1" si="1"/>
        <v>1.0801398331411466E-8</v>
      </c>
    </row>
    <row r="20" spans="2:4">
      <c r="B20">
        <f t="shared" ca="1" si="2"/>
        <v>11</v>
      </c>
      <c r="C20">
        <f t="shared" ca="1" si="0"/>
        <v>2.7441706673743636E-9</v>
      </c>
      <c r="D20">
        <f t="shared" ca="1" si="1"/>
        <v>3.3886599343493372E-8</v>
      </c>
    </row>
    <row r="21" spans="2:4">
      <c r="B21">
        <f t="shared" ca="1" si="2"/>
        <v>12</v>
      </c>
      <c r="C21">
        <f t="shared" ca="1" si="0"/>
        <v>1.2063546805319525E-8</v>
      </c>
      <c r="D21">
        <f t="shared" ca="1" si="1"/>
        <v>1.0185652848879281E-7</v>
      </c>
    </row>
    <row r="22" spans="2:4">
      <c r="B22">
        <f t="shared" ca="1" si="2"/>
        <v>13</v>
      </c>
      <c r="C22">
        <f t="shared" ca="1" si="0"/>
        <v>4.8402686672960086E-8</v>
      </c>
      <c r="D22">
        <f t="shared" ca="1" si="1"/>
        <v>2.9333415208605439E-7</v>
      </c>
    </row>
    <row r="23" spans="2:4">
      <c r="B23">
        <f t="shared" ca="1" si="2"/>
        <v>14</v>
      </c>
      <c r="C23">
        <f t="shared" ca="1" si="0"/>
        <v>1.7828541679278971E-7</v>
      </c>
      <c r="D23">
        <f t="shared" ca="1" si="1"/>
        <v>8.0937403096121379E-7</v>
      </c>
    </row>
    <row r="24" spans="2:4">
      <c r="B24">
        <f t="shared" ca="1" si="2"/>
        <v>15</v>
      </c>
      <c r="C24">
        <f t="shared" ca="1" si="0"/>
        <v>6.0586818544563535E-7</v>
      </c>
      <c r="D24">
        <f t="shared" ca="1" si="1"/>
        <v>2.1396797612094206E-6</v>
      </c>
    </row>
    <row r="25" spans="2:4">
      <c r="B25">
        <f t="shared" ca="1" si="2"/>
        <v>16</v>
      </c>
      <c r="C25">
        <f t="shared" ca="1" si="0"/>
        <v>1.907797284118425E-6</v>
      </c>
      <c r="D25">
        <f t="shared" ca="1" si="1"/>
        <v>5.4195243090026575E-6</v>
      </c>
    </row>
    <row r="26" spans="2:4">
      <c r="B26">
        <f t="shared" ca="1" si="2"/>
        <v>17</v>
      </c>
      <c r="C26">
        <f t="shared" ca="1" si="0"/>
        <v>5.5875024431763285E-6</v>
      </c>
      <c r="D26">
        <f t="shared" ca="1" si="1"/>
        <v>1.3151837533020627E-5</v>
      </c>
    </row>
    <row r="27" spans="2:4">
      <c r="B27">
        <f t="shared" ca="1" si="2"/>
        <v>18</v>
      </c>
      <c r="C27">
        <f t="shared" ca="1" si="0"/>
        <v>1.5271385786613186E-5</v>
      </c>
      <c r="D27">
        <f t="shared" ca="1" si="1"/>
        <v>3.0579091526936624E-5</v>
      </c>
    </row>
    <row r="28" spans="2:4">
      <c r="B28">
        <f t="shared" ca="1" si="2"/>
        <v>19</v>
      </c>
      <c r="C28">
        <f t="shared" ca="1" si="0"/>
        <v>3.9065540282264118E-5</v>
      </c>
      <c r="D28">
        <f t="shared" ca="1" si="1"/>
        <v>6.8120150561787842E-5</v>
      </c>
    </row>
    <row r="29" spans="2:4">
      <c r="B29">
        <f t="shared" ca="1" si="2"/>
        <v>20</v>
      </c>
      <c r="C29">
        <f t="shared" ca="1" si="0"/>
        <v>9.3778653647732575E-5</v>
      </c>
      <c r="D29">
        <f t="shared" ca="1" si="1"/>
        <v>1.4539166042654589E-4</v>
      </c>
    </row>
    <row r="30" spans="2:4">
      <c r="B30">
        <f t="shared" ca="1" si="2"/>
        <v>21</v>
      </c>
      <c r="C30">
        <f t="shared" ca="1" si="0"/>
        <v>2.1175312137241019E-4</v>
      </c>
      <c r="D30">
        <f t="shared" ca="1" si="1"/>
        <v>2.9731462335893806E-4</v>
      </c>
    </row>
    <row r="31" spans="2:4">
      <c r="B31">
        <f t="shared" ca="1" si="2"/>
        <v>22</v>
      </c>
      <c r="C31">
        <f t="shared" ca="1" si="0"/>
        <v>4.5070187668387872E-4</v>
      </c>
      <c r="D31">
        <f t="shared" ca="1" si="1"/>
        <v>5.8251340143322531E-4</v>
      </c>
    </row>
    <row r="32" spans="2:4">
      <c r="B32">
        <f t="shared" ca="1" si="2"/>
        <v>23</v>
      </c>
      <c r="C32">
        <f t="shared" ca="1" si="0"/>
        <v>9.0596468352732197E-4</v>
      </c>
      <c r="D32">
        <f t="shared" ca="1" si="1"/>
        <v>1.0934739695607348E-3</v>
      </c>
    </row>
    <row r="33" spans="2:4">
      <c r="B33">
        <f t="shared" ca="1" si="2"/>
        <v>24</v>
      </c>
      <c r="C33">
        <f t="shared" ca="1" si="0"/>
        <v>1.7228437307390404E-3</v>
      </c>
      <c r="D33">
        <f t="shared" ca="1" si="1"/>
        <v>1.9666354055720521E-3</v>
      </c>
    </row>
    <row r="34" spans="2:4">
      <c r="B34">
        <f t="shared" ca="1" si="2"/>
        <v>25</v>
      </c>
      <c r="C34">
        <f t="shared" ca="1" si="0"/>
        <v>3.1043780615046162E-3</v>
      </c>
      <c r="D34">
        <f t="shared" ca="1" si="1"/>
        <v>3.3888483517502976E-3</v>
      </c>
    </row>
    <row r="35" spans="2:4">
      <c r="B35">
        <f t="shared" ca="1" si="2"/>
        <v>26</v>
      </c>
      <c r="C35">
        <f t="shared" ca="1" si="0"/>
        <v>5.3078379617786248E-3</v>
      </c>
      <c r="D35">
        <f t="shared" ca="1" si="1"/>
        <v>5.5949124262485109E-3</v>
      </c>
    </row>
    <row r="36" spans="2:4">
      <c r="B36">
        <f t="shared" ca="1" si="2"/>
        <v>27</v>
      </c>
      <c r="C36">
        <f t="shared" ca="1" si="0"/>
        <v>8.6226497780377519E-3</v>
      </c>
      <c r="D36">
        <f t="shared" ca="1" si="1"/>
        <v>8.8500826844636581E-3</v>
      </c>
    </row>
    <row r="37" spans="2:4">
      <c r="B37">
        <f t="shared" ca="1" si="2"/>
        <v>28</v>
      </c>
      <c r="C37">
        <f t="shared" ca="1" si="0"/>
        <v>1.332480035905809E-2</v>
      </c>
      <c r="D37">
        <f t="shared" ca="1" si="1"/>
        <v>1.3412639135846428E-2</v>
      </c>
    </row>
    <row r="38" spans="2:4">
      <c r="B38">
        <f t="shared" ca="1" si="2"/>
        <v>29</v>
      </c>
      <c r="C38">
        <f t="shared" ca="1" si="0"/>
        <v>1.960876964004658E-2</v>
      </c>
      <c r="D38">
        <f t="shared" ca="1" si="1"/>
        <v>1.9475742725889131E-2</v>
      </c>
    </row>
    <row r="39" spans="2:4">
      <c r="B39">
        <f t="shared" ca="1" si="2"/>
        <v>30</v>
      </c>
      <c r="C39">
        <f t="shared" ca="1" si="0"/>
        <v>2.7506958593095571E-2</v>
      </c>
      <c r="D39">
        <f t="shared" ca="1" si="1"/>
        <v>2.7094846470222939E-2</v>
      </c>
    </row>
    <row r="40" spans="2:4">
      <c r="B40">
        <f t="shared" ca="1" si="2"/>
        <v>31</v>
      </c>
      <c r="C40">
        <f t="shared" ca="1" si="0"/>
        <v>3.681578414594984E-2</v>
      </c>
      <c r="D40">
        <f t="shared" ca="1" si="1"/>
        <v>3.6115384000426617E-2</v>
      </c>
    </row>
    <row r="41" spans="2:4">
      <c r="B41">
        <f t="shared" ca="1" si="2"/>
        <v>32</v>
      </c>
      <c r="C41">
        <f t="shared" ca="1" si="0"/>
        <v>4.7053106637207395E-2</v>
      </c>
      <c r="D41">
        <f t="shared" ca="1" si="1"/>
        <v>4.6122268124565755E-2</v>
      </c>
    </row>
    <row r="42" spans="2:4">
      <c r="B42">
        <f t="shared" ca="1" si="2"/>
        <v>33</v>
      </c>
      <c r="C42">
        <f t="shared" ca="1" si="0"/>
        <v>5.7469631257102735E-2</v>
      </c>
      <c r="D42">
        <f t="shared" ca="1" si="1"/>
        <v>5.6434145334001935E-2</v>
      </c>
    </row>
    <row r="43" spans="2:4">
      <c r="B43">
        <f t="shared" ca="1" si="2"/>
        <v>34</v>
      </c>
      <c r="C43">
        <f t="shared" ca="1" si="0"/>
        <v>6.7125793316569815E-2</v>
      </c>
      <c r="D43">
        <f t="shared" ca="1" si="1"/>
        <v>6.6158572394699064E-2</v>
      </c>
    </row>
    <row r="44" spans="2:4">
      <c r="B44">
        <f t="shared" ca="1" si="2"/>
        <v>35</v>
      </c>
      <c r="C44">
        <f t="shared" ca="1" si="0"/>
        <v>7.5027496927224768E-2</v>
      </c>
      <c r="D44">
        <f t="shared" ca="1" si="1"/>
        <v>7.4309300813022353E-2</v>
      </c>
    </row>
    <row r="45" spans="2:4">
      <c r="B45">
        <f t="shared" ca="1" si="2"/>
        <v>36</v>
      </c>
      <c r="C45">
        <f t="shared" ca="1" si="0"/>
        <v>8.029462030328359E-2</v>
      </c>
      <c r="D45">
        <f t="shared" ca="1" si="1"/>
        <v>7.9967423141953514E-2</v>
      </c>
    </row>
    <row r="46" spans="2:4">
      <c r="B46">
        <f t="shared" ca="1" si="2"/>
        <v>37</v>
      </c>
      <c r="C46">
        <f t="shared" ca="1" si="0"/>
        <v>8.2322743209026758E-2</v>
      </c>
      <c r="D46">
        <f t="shared" ca="1" si="1"/>
        <v>8.2450995774811284E-2</v>
      </c>
    </row>
    <row r="47" spans="2:4">
      <c r="B47">
        <f t="shared" ca="1" si="2"/>
        <v>38</v>
      </c>
      <c r="C47">
        <f t="shared" ca="1" si="0"/>
        <v>8.0896907862514703E-2</v>
      </c>
      <c r="D47">
        <f t="shared" ca="1" si="1"/>
        <v>8.1450093156384448E-2</v>
      </c>
    </row>
    <row r="48" spans="2:4">
      <c r="B48">
        <f t="shared" ca="1" si="2"/>
        <v>39</v>
      </c>
      <c r="C48">
        <f t="shared" ca="1" si="0"/>
        <v>7.6227932272092305E-2</v>
      </c>
      <c r="D48">
        <f t="shared" ca="1" si="1"/>
        <v>7.7090372199973875E-2</v>
      </c>
    </row>
    <row r="49" spans="2:4">
      <c r="B49">
        <f t="shared" ca="1" si="2"/>
        <v>40</v>
      </c>
      <c r="C49">
        <f t="shared" ca="1" si="0"/>
        <v>6.8903156592385689E-2</v>
      </c>
      <c r="D49">
        <f t="shared" ca="1" si="1"/>
        <v>6.9907146692481575E-2</v>
      </c>
    </row>
    <row r="50" spans="2:4">
      <c r="B50">
        <f t="shared" ca="1" si="2"/>
        <v>41</v>
      </c>
      <c r="C50">
        <f t="shared" ca="1" si="0"/>
        <v>5.9767026158705515E-2</v>
      </c>
      <c r="D50">
        <f t="shared" ca="1" si="1"/>
        <v>6.0737356679910308E-2</v>
      </c>
    </row>
    <row r="51" spans="2:4">
      <c r="B51">
        <f t="shared" ca="1" si="2"/>
        <v>42</v>
      </c>
      <c r="C51">
        <f t="shared" ca="1" si="0"/>
        <v>4.9764483791518994E-2</v>
      </c>
      <c r="D51">
        <f t="shared" ca="1" si="1"/>
        <v>5.0559535451790552E-2</v>
      </c>
    </row>
    <row r="52" spans="2:4">
      <c r="B52">
        <f t="shared" ca="1" si="2"/>
        <v>43</v>
      </c>
      <c r="C52">
        <f t="shared" ca="1" si="0"/>
        <v>3.9786357129062734E-2</v>
      </c>
      <c r="D52">
        <f t="shared" ca="1" si="1"/>
        <v>4.0323956672194475E-2</v>
      </c>
    </row>
    <row r="53" spans="2:4">
      <c r="B53">
        <f t="shared" ca="1" si="2"/>
        <v>44</v>
      </c>
      <c r="C53">
        <f t="shared" ca="1" si="0"/>
        <v>3.0550019441169699E-2</v>
      </c>
      <c r="D53">
        <f t="shared" ca="1" si="1"/>
        <v>3.0813148768488483E-2</v>
      </c>
    </row>
    <row r="54" spans="2:4">
      <c r="B54">
        <f t="shared" ca="1" si="2"/>
        <v>45</v>
      </c>
      <c r="C54">
        <f t="shared" ca="1" si="0"/>
        <v>2.2534199730131023E-2</v>
      </c>
      <c r="D54">
        <f t="shared" ca="1" si="1"/>
        <v>2.2559106728643707E-2</v>
      </c>
    </row>
    <row r="55" spans="2:4">
      <c r="B55">
        <f t="shared" ca="1" si="2"/>
        <v>46</v>
      </c>
      <c r="C55">
        <f t="shared" ca="1" si="0"/>
        <v>1.5969897632139435E-2</v>
      </c>
      <c r="D55">
        <f t="shared" ca="1" si="1"/>
        <v>1.5824157393062192E-2</v>
      </c>
    </row>
    <row r="56" spans="2:4">
      <c r="B56">
        <f t="shared" ca="1" si="2"/>
        <v>47</v>
      </c>
      <c r="C56">
        <f t="shared" ca="1" si="0"/>
        <v>1.0875598580007946E-2</v>
      </c>
      <c r="D56">
        <f t="shared" ca="1" si="1"/>
        <v>1.0634869517520257E-2</v>
      </c>
    </row>
    <row r="57" spans="2:4">
      <c r="B57">
        <f t="shared" ca="1" si="2"/>
        <v>48</v>
      </c>
      <c r="C57">
        <f t="shared" ca="1" si="0"/>
        <v>7.1177533876758429E-3</v>
      </c>
      <c r="D57">
        <f t="shared" ca="1" si="1"/>
        <v>6.8478874607596401E-3</v>
      </c>
    </row>
    <row r="58" spans="2:4">
      <c r="B58">
        <f t="shared" ca="1" si="2"/>
        <v>49</v>
      </c>
      <c r="C58">
        <f t="shared" ca="1" si="0"/>
        <v>4.4771880453565813E-3</v>
      </c>
      <c r="D58">
        <f t="shared" ca="1" si="1"/>
        <v>4.2246811795797218E-3</v>
      </c>
    </row>
    <row r="59" spans="2:4">
      <c r="B59">
        <f t="shared" ca="1" si="2"/>
        <v>50</v>
      </c>
      <c r="C59">
        <f t="shared" ca="1" si="0"/>
        <v>2.7068278885285157E-3</v>
      </c>
      <c r="D59">
        <f t="shared" ca="1" si="1"/>
        <v>2.4971471929616284E-3</v>
      </c>
    </row>
    <row r="60" spans="2:4">
      <c r="B60">
        <f t="shared" ca="1" si="2"/>
        <v>51</v>
      </c>
      <c r="C60">
        <f t="shared" ca="1" si="0"/>
        <v>1.5729524919266583E-3</v>
      </c>
      <c r="D60">
        <f t="shared" ca="1" si="1"/>
        <v>1.4141882403497618E-3</v>
      </c>
    </row>
    <row r="61" spans="2:4">
      <c r="B61">
        <f t="shared" ca="1" si="2"/>
        <v>52</v>
      </c>
      <c r="C61">
        <f t="shared" ca="1" si="0"/>
        <v>8.7854391954895388E-4</v>
      </c>
      <c r="D61">
        <f t="shared" ca="1" si="1"/>
        <v>7.6733176618262451E-4</v>
      </c>
    </row>
    <row r="62" spans="2:4">
      <c r="B62">
        <f t="shared" ca="1" si="2"/>
        <v>53</v>
      </c>
      <c r="C62">
        <f t="shared" ca="1" si="0"/>
        <v>4.7161105873200226E-4</v>
      </c>
      <c r="D62">
        <f t="shared" ca="1" si="1"/>
        <v>3.989073243518744E-4</v>
      </c>
    </row>
    <row r="63" spans="2:4">
      <c r="B63">
        <f t="shared" ca="1" si="2"/>
        <v>54</v>
      </c>
      <c r="C63">
        <f t="shared" ca="1" si="0"/>
        <v>2.4330061880591548E-4</v>
      </c>
      <c r="D63">
        <f t="shared" ca="1" si="1"/>
        <v>1.9868895252443954E-4</v>
      </c>
    </row>
    <row r="64" spans="2:4">
      <c r="B64">
        <f t="shared" ca="1" si="2"/>
        <v>55</v>
      </c>
      <c r="C64">
        <f t="shared" ca="1" si="0"/>
        <v>1.2061282533240167E-4</v>
      </c>
      <c r="D64">
        <f t="shared" ca="1" si="1"/>
        <v>9.4817457737508335E-5</v>
      </c>
    </row>
    <row r="65" spans="2:4">
      <c r="B65">
        <f t="shared" ca="1" si="2"/>
        <v>56</v>
      </c>
      <c r="C65">
        <f t="shared" ca="1" si="0"/>
        <v>5.7447761772541762E-5</v>
      </c>
      <c r="D65">
        <f t="shared" ca="1" si="1"/>
        <v>4.3352662037512492E-5</v>
      </c>
    </row>
    <row r="66" spans="2:4">
      <c r="B66">
        <f t="shared" ca="1" si="2"/>
        <v>57</v>
      </c>
      <c r="C66">
        <f t="shared" ca="1" si="0"/>
        <v>2.6284884241760783E-5</v>
      </c>
      <c r="D66">
        <f t="shared" ca="1" si="1"/>
        <v>1.8991361926610245E-5</v>
      </c>
    </row>
    <row r="67" spans="2:4">
      <c r="B67">
        <f t="shared" ca="1" si="2"/>
        <v>58</v>
      </c>
      <c r="C67">
        <f t="shared" ca="1" si="0"/>
        <v>1.155052344313001E-5</v>
      </c>
      <c r="D67">
        <f t="shared" ca="1" si="1"/>
        <v>7.9709360981684237E-6</v>
      </c>
    </row>
    <row r="68" spans="2:4">
      <c r="B68">
        <f t="shared" ca="1" si="2"/>
        <v>59</v>
      </c>
      <c r="C68">
        <f t="shared" ca="1" si="0"/>
        <v>4.8736471113725036E-6</v>
      </c>
      <c r="D68">
        <f t="shared" ca="1" si="1"/>
        <v>3.2053497288598697E-6</v>
      </c>
    </row>
    <row r="69" spans="2:4">
      <c r="B69">
        <f t="shared" ca="1" si="2"/>
        <v>60</v>
      </c>
      <c r="C69">
        <f t="shared" ca="1" si="0"/>
        <v>1.9739757871425247E-6</v>
      </c>
      <c r="D69">
        <f t="shared" ca="1" si="1"/>
        <v>1.2349642682138868E-6</v>
      </c>
    </row>
    <row r="70" spans="2:4">
      <c r="B70">
        <f t="shared" ca="1" si="2"/>
        <v>61</v>
      </c>
      <c r="C70">
        <f t="shared" ca="1" si="0"/>
        <v>7.672327146069365E-7</v>
      </c>
      <c r="D70">
        <f t="shared" ca="1" si="1"/>
        <v>4.5587548643463734E-7</v>
      </c>
    </row>
    <row r="71" spans="2:4">
      <c r="B71">
        <f t="shared" ca="1" si="2"/>
        <v>62</v>
      </c>
      <c r="C71">
        <f t="shared" ca="1" si="0"/>
        <v>2.8605870315848941E-7</v>
      </c>
      <c r="D71">
        <f t="shared" ca="1" si="1"/>
        <v>1.6123189714261112E-7</v>
      </c>
    </row>
    <row r="72" spans="2:4">
      <c r="B72">
        <f t="shared" ca="1" si="2"/>
        <v>63</v>
      </c>
      <c r="C72">
        <f t="shared" ca="1" si="0"/>
        <v>1.0227119905353059E-7</v>
      </c>
      <c r="D72">
        <f t="shared" ca="1" si="1"/>
        <v>5.4634700343380999E-8</v>
      </c>
    </row>
    <row r="73" spans="2:4">
      <c r="B73">
        <f t="shared" ca="1" si="2"/>
        <v>64</v>
      </c>
      <c r="C73">
        <f t="shared" ca="1" si="0"/>
        <v>3.5045336388839317E-8</v>
      </c>
      <c r="D73">
        <f t="shared" ca="1" si="1"/>
        <v>1.7737770992478681E-8</v>
      </c>
    </row>
    <row r="74" spans="2:4">
      <c r="B74">
        <f t="shared" ca="1" si="2"/>
        <v>65</v>
      </c>
      <c r="C74">
        <f t="shared" ref="C74:C109" ca="1" si="3">_xlfn.BINOM.DIST(B74,$C$3,$C$6,FALSE)</f>
        <v>1.1504679176009436E-8</v>
      </c>
      <c r="D74">
        <f t="shared" ref="D74:D109" ca="1" si="4">NORMDIST(B74,$E$6,$F$6,FALSE)</f>
        <v>5.5175007197738012E-9</v>
      </c>
    </row>
    <row r="75" spans="2:4">
      <c r="B75">
        <f t="shared" ref="B75:B109" ca="1" si="5">B74+1</f>
        <v>66</v>
      </c>
      <c r="C75">
        <f t="shared" ca="1" si="3"/>
        <v>3.6162109443074888E-9</v>
      </c>
      <c r="D75">
        <f t="shared" ca="1" si="4"/>
        <v>1.644366537028982E-9</v>
      </c>
    </row>
    <row r="76" spans="2:4">
      <c r="B76">
        <f t="shared" ca="1" si="5"/>
        <v>67</v>
      </c>
      <c r="C76">
        <f t="shared" ca="1" si="3"/>
        <v>1.0877097105432299E-9</v>
      </c>
      <c r="D76">
        <f t="shared" ca="1" si="4"/>
        <v>4.6953474915976565E-10</v>
      </c>
    </row>
    <row r="77" spans="2:4">
      <c r="B77">
        <f t="shared" ca="1" si="5"/>
        <v>68</v>
      </c>
      <c r="C77">
        <f t="shared" ca="1" si="3"/>
        <v>3.128766608828761E-10</v>
      </c>
      <c r="D77">
        <f t="shared" ca="1" si="4"/>
        <v>1.2845461871187861E-10</v>
      </c>
    </row>
    <row r="78" spans="2:4">
      <c r="B78">
        <f t="shared" ca="1" si="5"/>
        <v>69</v>
      </c>
      <c r="C78">
        <f t="shared" ca="1" si="3"/>
        <v>8.600608732906698E-11</v>
      </c>
      <c r="D78">
        <f t="shared" ca="1" si="4"/>
        <v>3.3670113988390287E-11</v>
      </c>
    </row>
    <row r="79" spans="2:4">
      <c r="B79">
        <f t="shared" ca="1" si="5"/>
        <v>70</v>
      </c>
      <c r="C79">
        <f t="shared" ca="1" si="3"/>
        <v>2.2576051117071608E-11</v>
      </c>
      <c r="D79">
        <f t="shared" ca="1" si="4"/>
        <v>8.4557537292474863E-12</v>
      </c>
    </row>
    <row r="80" spans="2:4">
      <c r="B80">
        <f t="shared" ca="1" si="5"/>
        <v>71</v>
      </c>
      <c r="C80">
        <f t="shared" ca="1" si="3"/>
        <v>5.6541330115098256E-12</v>
      </c>
      <c r="D80">
        <f t="shared" ca="1" si="4"/>
        <v>2.0345714303388033E-12</v>
      </c>
    </row>
    <row r="81" spans="2:4">
      <c r="B81">
        <f t="shared" ca="1" si="5"/>
        <v>72</v>
      </c>
      <c r="C81">
        <f t="shared" ca="1" si="3"/>
        <v>1.3498535639510065E-12</v>
      </c>
      <c r="D81">
        <f t="shared" ca="1" si="4"/>
        <v>4.6903627771558433E-13</v>
      </c>
    </row>
    <row r="82" spans="2:4">
      <c r="B82">
        <f t="shared" ca="1" si="5"/>
        <v>73</v>
      </c>
      <c r="C82">
        <f t="shared" ca="1" si="3"/>
        <v>3.0688592038074986E-13</v>
      </c>
      <c r="D82">
        <f t="shared" ca="1" si="4"/>
        <v>1.0359834183605846E-13</v>
      </c>
    </row>
    <row r="83" spans="2:4">
      <c r="B83">
        <f t="shared" ca="1" si="5"/>
        <v>74</v>
      </c>
      <c r="C83">
        <f t="shared" ca="1" si="3"/>
        <v>6.6368827223878777E-14</v>
      </c>
      <c r="D83">
        <f t="shared" ca="1" si="4"/>
        <v>2.1923609141333336E-14</v>
      </c>
    </row>
    <row r="84" spans="2:4">
      <c r="B84">
        <f t="shared" ca="1" si="5"/>
        <v>75</v>
      </c>
      <c r="C84">
        <f t="shared" ca="1" si="3"/>
        <v>1.3637393222917356E-14</v>
      </c>
      <c r="D84">
        <f t="shared" ca="1" si="4"/>
        <v>4.4451270058539509E-15</v>
      </c>
    </row>
    <row r="85" spans="2:4">
      <c r="B85">
        <f t="shared" ca="1" si="5"/>
        <v>76</v>
      </c>
      <c r="C85">
        <f t="shared" ca="1" si="3"/>
        <v>2.6589668000180366E-15</v>
      </c>
      <c r="D85">
        <f t="shared" ca="1" si="4"/>
        <v>8.6351358482262714E-16</v>
      </c>
    </row>
    <row r="86" spans="2:4">
      <c r="B86">
        <f t="shared" ca="1" si="5"/>
        <v>77</v>
      </c>
      <c r="C86">
        <f t="shared" ca="1" si="3"/>
        <v>4.9123416767781461E-16</v>
      </c>
      <c r="D86">
        <f t="shared" ca="1" si="4"/>
        <v>1.6071893699806158E-16</v>
      </c>
    </row>
    <row r="87" spans="2:4">
      <c r="B87">
        <f t="shared" ca="1" si="5"/>
        <v>78</v>
      </c>
      <c r="C87">
        <f t="shared" ca="1" si="3"/>
        <v>8.5857242282123392E-17</v>
      </c>
      <c r="D87">
        <f t="shared" ca="1" si="4"/>
        <v>2.8660106848044838E-17</v>
      </c>
    </row>
    <row r="88" spans="2:4">
      <c r="B88">
        <f t="shared" ca="1" si="5"/>
        <v>79</v>
      </c>
      <c r="C88">
        <f t="shared" ca="1" si="3"/>
        <v>1.4171886307635481E-17</v>
      </c>
      <c r="D88">
        <f t="shared" ca="1" si="4"/>
        <v>4.8966767553739166E-18</v>
      </c>
    </row>
    <row r="89" spans="2:4">
      <c r="B89">
        <f t="shared" ca="1" si="5"/>
        <v>80</v>
      </c>
      <c r="C89">
        <f t="shared" ca="1" si="3"/>
        <v>2.2050178143724639E-18</v>
      </c>
      <c r="D89">
        <f t="shared" ca="1" si="4"/>
        <v>8.0156351928930431E-19</v>
      </c>
    </row>
    <row r="90" spans="2:4">
      <c r="B90">
        <f t="shared" ca="1" si="5"/>
        <v>81</v>
      </c>
      <c r="C90">
        <f t="shared" ca="1" si="3"/>
        <v>3.2270984475961599E-19</v>
      </c>
      <c r="D90">
        <f t="shared" ca="1" si="4"/>
        <v>1.2571506601326072E-19</v>
      </c>
    </row>
    <row r="91" spans="2:4">
      <c r="B91">
        <f t="shared" ca="1" si="5"/>
        <v>82</v>
      </c>
      <c r="C91">
        <f t="shared" ca="1" si="3"/>
        <v>4.4320749713358467E-20</v>
      </c>
      <c r="D91">
        <f t="shared" ca="1" si="4"/>
        <v>1.889076689272027E-20</v>
      </c>
    </row>
    <row r="92" spans="2:4">
      <c r="B92">
        <f t="shared" ca="1" si="5"/>
        <v>83</v>
      </c>
      <c r="C92">
        <f t="shared" ca="1" si="3"/>
        <v>5.6971367755691385E-21</v>
      </c>
      <c r="D92">
        <f t="shared" ca="1" si="4"/>
        <v>2.7197233320450142E-21</v>
      </c>
    </row>
    <row r="93" spans="2:4">
      <c r="B93">
        <f t="shared" ca="1" si="5"/>
        <v>84</v>
      </c>
      <c r="C93">
        <f t="shared" ca="1" si="3"/>
        <v>6.8341013716815642E-22</v>
      </c>
      <c r="D93">
        <f t="shared" ca="1" si="4"/>
        <v>3.7515673014750526E-22</v>
      </c>
    </row>
    <row r="94" spans="2:4">
      <c r="B94">
        <f t="shared" ca="1" si="5"/>
        <v>85</v>
      </c>
      <c r="C94">
        <f t="shared" ca="1" si="3"/>
        <v>7.6249606819067739E-23</v>
      </c>
      <c r="D94">
        <f t="shared" ca="1" si="4"/>
        <v>4.9580811837191362E-23</v>
      </c>
    </row>
    <row r="95" spans="2:4">
      <c r="B95">
        <f t="shared" ca="1" si="5"/>
        <v>86</v>
      </c>
      <c r="C95">
        <f t="shared" ca="1" si="3"/>
        <v>7.8828915466149544E-24</v>
      </c>
      <c r="D95">
        <f t="shared" ca="1" si="4"/>
        <v>6.2780880475254865E-24</v>
      </c>
    </row>
    <row r="96" spans="2:4">
      <c r="B96">
        <f t="shared" ca="1" si="5"/>
        <v>87</v>
      </c>
      <c r="C96">
        <f t="shared" ca="1" si="3"/>
        <v>7.5188162221641517E-25</v>
      </c>
      <c r="D96">
        <f t="shared" ca="1" si="4"/>
        <v>7.6164754681717112E-25</v>
      </c>
    </row>
    <row r="97" spans="2:4">
      <c r="B97">
        <f t="shared" ca="1" si="5"/>
        <v>88</v>
      </c>
      <c r="C97">
        <f t="shared" ca="1" si="3"/>
        <v>6.5836280221248327E-26</v>
      </c>
      <c r="D97">
        <f t="shared" ca="1" si="4"/>
        <v>8.8530633078901724E-26</v>
      </c>
    </row>
    <row r="98" spans="2:4">
      <c r="B98">
        <f t="shared" ca="1" si="5"/>
        <v>89</v>
      </c>
      <c r="C98">
        <f t="shared" ca="1" si="3"/>
        <v>5.26152525858624E-27</v>
      </c>
      <c r="D98">
        <f t="shared" ca="1" si="4"/>
        <v>9.8592974427402184E-27</v>
      </c>
    </row>
    <row r="99" spans="2:4">
      <c r="B99">
        <f t="shared" ca="1" si="5"/>
        <v>90</v>
      </c>
      <c r="C99">
        <f t="shared" ca="1" si="3"/>
        <v>3.8116847139432355E-28</v>
      </c>
      <c r="D99">
        <f t="shared" ca="1" si="4"/>
        <v>1.0519891118282152E-27</v>
      </c>
    </row>
    <row r="100" spans="2:4">
      <c r="B100">
        <f t="shared" ca="1" si="5"/>
        <v>91</v>
      </c>
      <c r="C100">
        <f t="shared" ca="1" si="3"/>
        <v>2.4827369816386537E-29</v>
      </c>
      <c r="D100">
        <f t="shared" ca="1" si="4"/>
        <v>1.0754479538667954E-28</v>
      </c>
    </row>
    <row r="101" spans="2:4">
      <c r="B101">
        <f t="shared" ca="1" si="5"/>
        <v>92</v>
      </c>
      <c r="C101">
        <f t="shared" ca="1" si="3"/>
        <v>1.4395956661921941E-30</v>
      </c>
      <c r="D101">
        <f t="shared" ca="1" si="4"/>
        <v>1.0533687429700185E-29</v>
      </c>
    </row>
    <row r="102" spans="2:4">
      <c r="B102">
        <f t="shared" ca="1" si="5"/>
        <v>93</v>
      </c>
      <c r="C102">
        <f t="shared" ca="1" si="3"/>
        <v>7.3401122950107816E-32</v>
      </c>
      <c r="D102">
        <f t="shared" ca="1" si="4"/>
        <v>9.8851743514153435E-31</v>
      </c>
    </row>
    <row r="103" spans="2:4">
      <c r="B103">
        <f t="shared" ca="1" si="5"/>
        <v>94</v>
      </c>
      <c r="C103">
        <f t="shared" ca="1" si="3"/>
        <v>3.2398732918499471E-33</v>
      </c>
      <c r="D103">
        <f t="shared" ca="1" si="4"/>
        <v>8.8879400571980718E-32</v>
      </c>
    </row>
    <row r="104" spans="2:4">
      <c r="B104">
        <f t="shared" ca="1" si="5"/>
        <v>95</v>
      </c>
      <c r="C104">
        <f t="shared" ca="1" si="3"/>
        <v>1.2128603705031518E-34</v>
      </c>
      <c r="D104">
        <f t="shared" ca="1" si="4"/>
        <v>7.6565086420435579E-33</v>
      </c>
    </row>
    <row r="105" spans="2:4">
      <c r="B105">
        <f t="shared" ca="1" si="5"/>
        <v>96</v>
      </c>
      <c r="C105">
        <f t="shared" ca="1" si="3"/>
        <v>3.7442489133060454E-36</v>
      </c>
      <c r="D105">
        <f t="shared" ca="1" si="4"/>
        <v>6.319363159612527E-34</v>
      </c>
    </row>
    <row r="106" spans="2:4">
      <c r="B106">
        <f t="shared" ca="1" si="5"/>
        <v>97</v>
      </c>
      <c r="C106">
        <f t="shared" ca="1" si="3"/>
        <v>9.1518333790764341E-38</v>
      </c>
      <c r="D106">
        <f t="shared" ca="1" si="4"/>
        <v>4.9972229727547529E-35</v>
      </c>
    </row>
    <row r="107" spans="2:4">
      <c r="B107">
        <f t="shared" ca="1" si="5"/>
        <v>98</v>
      </c>
      <c r="C107">
        <f t="shared" ca="1" si="3"/>
        <v>1.660574707443278E-39</v>
      </c>
      <c r="D107">
        <f t="shared" ca="1" si="4"/>
        <v>3.7861430479430937E-36</v>
      </c>
    </row>
    <row r="108" spans="2:4">
      <c r="B108">
        <f t="shared" ca="1" si="5"/>
        <v>99</v>
      </c>
      <c r="C108">
        <f t="shared" ca="1" si="3"/>
        <v>1.988421063589382E-41</v>
      </c>
      <c r="D108">
        <f t="shared" ca="1" si="4"/>
        <v>2.7483889002364467E-37</v>
      </c>
    </row>
    <row r="109" spans="2:4">
      <c r="B109">
        <f t="shared" ca="1" si="5"/>
        <v>100</v>
      </c>
      <c r="C109">
        <f t="shared" ca="1" si="3"/>
        <v>1.1785920035152688E-43</v>
      </c>
      <c r="D109">
        <f t="shared" ca="1" si="4"/>
        <v>1.911490879760162E-38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Credit Portfolio</vt:lpstr>
      <vt:lpstr>Conditional PD distribution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Gregory</dc:creator>
  <cp:lastModifiedBy>Jon Gregory</cp:lastModifiedBy>
  <dcterms:created xsi:type="dcterms:W3CDTF">2018-12-22T19:15:49Z</dcterms:created>
  <dcterms:modified xsi:type="dcterms:W3CDTF">2020-02-13T15:12:26Z</dcterms:modified>
</cp:coreProperties>
</file>