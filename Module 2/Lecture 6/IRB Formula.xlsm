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42" documentId="8_{D73C4CCB-957B-4EE7-A00C-7228F888D66D}" xr6:coauthVersionLast="45" xr6:coauthVersionMax="45" xr10:uidLastSave="{C8DCCBBF-1C95-48F9-888F-21F4CCDBAF0D}"/>
  <bookViews>
    <workbookView xWindow="-108" yWindow="-108" windowWidth="23256" windowHeight="12576" firstSheet="1" activeTab="1" xr2:uid="{00000000-000D-0000-FFFF-FFFF00000000}"/>
  </bookViews>
  <sheets>
    <sheet name="Simple Binomial" sheetId="17" r:id="rId1"/>
    <sheet name="IRB" sheetId="2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LS1" localSheetId="1">#REF!</definedName>
    <definedName name="_LS1">#REF!</definedName>
    <definedName name="_LS2" localSheetId="1">#REF!</definedName>
    <definedName name="_LS2">#REF!</definedName>
    <definedName name="_mu1" localSheetId="1">#REF!</definedName>
    <definedName name="_mu1">#REF!</definedName>
    <definedName name="_mu2">#REF!</definedName>
    <definedName name="_Mu3">#REF!</definedName>
    <definedName name="_PV1">#REF!</definedName>
    <definedName name="_PV2">#REF!</definedName>
    <definedName name="_RDV01">[1]BlackModel!$D$21</definedName>
    <definedName name="_Rho1">[2]CDOPricer!$Q$15</definedName>
    <definedName name="_Rho2">[2]CDOPricer!$Q$16</definedName>
    <definedName name="_Val1">[3]CVA!$J$3</definedName>
    <definedName name="_Val2">[3]CVA!$J$4</definedName>
    <definedName name="_Val3">[3]CVA!$J$5</definedName>
    <definedName name="_VaR10" localSheetId="1">#REF!</definedName>
    <definedName name="_VaR10">#REF!</definedName>
    <definedName name="_VAR2" localSheetId="1">[4]LiquidationTimescale!$D$20</definedName>
    <definedName name="_VAR2">#REF!</definedName>
    <definedName name="_VAR3" localSheetId="1">[4]LiquidationTimescale!$D$26</definedName>
    <definedName name="_VAR3">#REF!</definedName>
    <definedName name="_vd1" localSheetId="1">#REF!</definedName>
    <definedName name="_vd1">#REF!</definedName>
    <definedName name="_vd2" localSheetId="1">#REF!</definedName>
    <definedName name="_vd2">#REF!</definedName>
    <definedName name="_vvd1">[5]TreePricer!$C$26</definedName>
    <definedName name="_wd1">[5]TreePricer!$C$27</definedName>
    <definedName name="_xd1">[6]HedgingSimulation!$C$14</definedName>
    <definedName name="_xd2">[6]HedgingSimulation!$C$15</definedName>
    <definedName name="AccrCell" localSheetId="1">#REF!</definedName>
    <definedName name="AccrCell">#REF!</definedName>
    <definedName name="AccrChoice" localSheetId="1">#REF!</definedName>
    <definedName name="AccrChoice">#REF!</definedName>
    <definedName name="AccruedCell" localSheetId="1">#REF!</definedName>
    <definedName name="AccruedCell">#REF!</definedName>
    <definedName name="AccruedChoice">#REF!</definedName>
    <definedName name="AccruedInterest" localSheetId="1">'[7]Bond Price with Excel'!$B$24</definedName>
    <definedName name="AccruedInterest">'[8]Bond Price with Excel'!$B$24</definedName>
    <definedName name="AccruedOptions" localSheetId="1">#REF!</definedName>
    <definedName name="AccruedOptions">#REF!</definedName>
    <definedName name="AccruedOrNot" localSheetId="1">#REF!</definedName>
    <definedName name="AccruedOrNot">#REF!</definedName>
    <definedName name="AccruedPrem" localSheetId="1">#REF!</definedName>
    <definedName name="AccruedPrem">#REF!</definedName>
    <definedName name="AccruedYesNo">#REF!</definedName>
    <definedName name="Accured">#REF!</definedName>
    <definedName name="ActIntensity1">[9]CVA!#REF!</definedName>
    <definedName name="ActIntensity2">[9]CVA!#REF!</definedName>
    <definedName name="ActMat" localSheetId="1">#REF!</definedName>
    <definedName name="ActMat">#REF!</definedName>
    <definedName name="Actual_Rating_11" localSheetId="1">#REF!</definedName>
    <definedName name="Actual_Rating_11">#REF!</definedName>
    <definedName name="AddOn">'[10]All Methodologies IRS'!$F$15</definedName>
    <definedName name="AddOn_CEM">'[10]All Methodologies IRS'!$F$8</definedName>
    <definedName name="AgentRec" localSheetId="1">[3]CVA!#REF!</definedName>
    <definedName name="AgentRec">[3]CVA!#REF!</definedName>
    <definedName name="AllRandomNumbers" localSheetId="1">#REF!</definedName>
    <definedName name="AllRandomNumbers">#REF!</definedName>
    <definedName name="Alpha" localSheetId="1">'[10]All Methodologies IRS'!$F$12</definedName>
    <definedName name="Alpha">#REF!</definedName>
    <definedName name="Alpha_BACVA">'[10]All Methodologies IRS'!#REF!</definedName>
    <definedName name="AlphaEPE">[3]Portfolio!$J$9</definedName>
    <definedName name="AlphaParam" localSheetId="1">[4]LiquidationTimescale!$D$25</definedName>
    <definedName name="AlphaParam">#REF!</definedName>
    <definedName name="AmortChoice" localSheetId="1">#REF!</definedName>
    <definedName name="AmortChoice">#REF!</definedName>
    <definedName name="Amortisation" localSheetId="1">#REF!</definedName>
    <definedName name="Amortisation">#REF!</definedName>
    <definedName name="AmortisedTime" localSheetId="1">[4]LiquidationTimescale!$D$23</definedName>
    <definedName name="AmortisedTime">#REF!</definedName>
    <definedName name="Amortising" localSheetId="1">#REF!</definedName>
    <definedName name="Amortising">#REF!</definedName>
    <definedName name="Amortizing" localSheetId="1">#REF!</definedName>
    <definedName name="Amortizing">#REF!</definedName>
    <definedName name="AmortOrNot" localSheetId="1">#REF!</definedName>
    <definedName name="AmortOrNot">#REF!</definedName>
    <definedName name="amount1" localSheetId="1">[11]SimpleCovarianceWithWeights!$J$3</definedName>
    <definedName name="amount1">[12]SimpleCovarianceWithWeights!$J$3</definedName>
    <definedName name="amount2" localSheetId="1">[11]SimpleCovarianceWithWeights!$K$3</definedName>
    <definedName name="amount2">[12]SimpleCovarianceWithWeights!$K$3</definedName>
    <definedName name="AmountToLiquidate" localSheetId="1">[4]LiquidationTimescale!$D$15</definedName>
    <definedName name="AmountToLiquidate">#REF!</definedName>
    <definedName name="AnalyticalDeltas" localSheetId="1">#REF!</definedName>
    <definedName name="AnalyticalDeltas">#REF!</definedName>
    <definedName name="Annuity">'[2]Bond-CDS Basis'!$C$19</definedName>
    <definedName name="Asset2" localSheetId="1">[14]MonteCarlo!#REF!</definedName>
    <definedName name="Asset2">[13]MonteCarlo!#REF!</definedName>
    <definedName name="AssetCorrelation">[3]Portfolio!$J$11</definedName>
    <definedName name="AssetMC" localSheetId="1">[14]MonteCarlo!$C$3</definedName>
    <definedName name="AssetMC">[13]MonteCarlo!$C$3</definedName>
    <definedName name="AssetPrice" localSheetId="1">[4]LiquidationTimescale!$D$12</definedName>
    <definedName name="AssetPrice">#REF!</definedName>
    <definedName name="AssetVal" localSheetId="1">#REF!</definedName>
    <definedName name="AssetVal">#REF!</definedName>
    <definedName name="AssetValue" localSheetId="1">#REF!</definedName>
    <definedName name="AssetValue">#REF!</definedName>
    <definedName name="Assetvol" localSheetId="1">[15]CreditGrades!$C$14</definedName>
    <definedName name="Assetvol">#REF!</definedName>
    <definedName name="AssetVolatility" localSheetId="1">#REF!</definedName>
    <definedName name="AssetVolatility">#REF!</definedName>
    <definedName name="At" localSheetId="1">[15]CreditGrades!$C$15</definedName>
    <definedName name="At">#REF!</definedName>
    <definedName name="Attach" localSheetId="1">#REF!</definedName>
    <definedName name="Attach">#REF!</definedName>
    <definedName name="Attach2" localSheetId="1">#REF!</definedName>
    <definedName name="Attach2">#REF!</definedName>
    <definedName name="AvDefProb" localSheetId="1">[3]Portfolio!#REF!</definedName>
    <definedName name="AvDefProb">#REF!</definedName>
    <definedName name="AvRecovery" localSheetId="1">[15]Portfolio!#REF!</definedName>
    <definedName name="AvRecovery">#REF!</definedName>
    <definedName name="AvSpread">[16]IndexBasis!$I$10</definedName>
    <definedName name="AvSpread2" localSheetId="1">#REF!</definedName>
    <definedName name="AvSpread2">#REF!</definedName>
    <definedName name="BACVAExpMult">'[10]All Methodologies IRS'!$F$23</definedName>
    <definedName name="Barrier">[6]OptionPricer!$C$20</definedName>
    <definedName name="BaseCorrel1" localSheetId="1">#REF!</definedName>
    <definedName name="BaseCorrel1">#REF!</definedName>
    <definedName name="BaseCorrel2" localSheetId="1">#REF!</definedName>
    <definedName name="BaseCorrel2">#REF!</definedName>
    <definedName name="BaseCorrelComb" localSheetId="1">#REF!</definedName>
    <definedName name="BaseCorrelComb">#REF!</definedName>
    <definedName name="BaseCorrelCurve">#REF!</definedName>
    <definedName name="BaseCorrelEUR">#REF!</definedName>
    <definedName name="BaseCorrelUS">#REF!</definedName>
    <definedName name="BaseCorrEuro">#REF!</definedName>
    <definedName name="BaseCorrUS">#REF!</definedName>
    <definedName name="Basis">#REF!</definedName>
    <definedName name="Basis1">#REF!</definedName>
    <definedName name="Basis2">#REF!</definedName>
    <definedName name="BasisChoices">#REF!</definedName>
    <definedName name="BasisIndex">#REF!</definedName>
    <definedName name="BasisTable1">#REF!</definedName>
    <definedName name="BasisTable2">#REF!</definedName>
    <definedName name="BasketMaturity">[2]BasketPricer!$C$14</definedName>
    <definedName name="BasketPV" localSheetId="1">#REF!</definedName>
    <definedName name="BasketPV">#REF!</definedName>
    <definedName name="BasketSize">[2]BasketPricer!$C$15</definedName>
    <definedName name="BasketType" localSheetId="1">#REF!</definedName>
    <definedName name="BasketType">#REF!</definedName>
    <definedName name="bBasis">#REF!</definedName>
    <definedName name="bBasisIndex">#REF!</definedName>
    <definedName name="BCorrel">#REF!</definedName>
    <definedName name="Beta" localSheetId="1">[4]LiquidationTimescale!$D$14</definedName>
    <definedName name="Beta">#REF!</definedName>
    <definedName name="bFac">'[10]All Methodologies IRS'!$C$32</definedName>
    <definedName name="bFreq" localSheetId="1">#REF!</definedName>
    <definedName name="bFreq">#REF!</definedName>
    <definedName name="bFreqIndex" localSheetId="1">#REF!</definedName>
    <definedName name="bFreqIndex">#REF!</definedName>
    <definedName name="BID" localSheetId="1">#REF!</definedName>
    <definedName name="BID">#REF!</definedName>
    <definedName name="bilateral_penalty">#REF!</definedName>
    <definedName name="bilaterla_penalty">#REF!</definedName>
    <definedName name="blank_ref_cell">#REF!</definedName>
    <definedName name="bMatDate">#REF!</definedName>
    <definedName name="Bond_Data_11">#REF!</definedName>
    <definedName name="BondCoupon">'[2]Bond-CDS Basis'!$C$13</definedName>
    <definedName name="BondDeltaApprox" localSheetId="1">#REF!</definedName>
    <definedName name="BondDeltaApprox">#REF!</definedName>
    <definedName name="BondDeltaApprox2">#REF!</definedName>
    <definedName name="BondDuration">#REF!</definedName>
    <definedName name="BondMaturity">#REF!</definedName>
    <definedName name="BondPrice">#REF!</definedName>
    <definedName name="BondPrice_11">#REF!</definedName>
    <definedName name="BondPriceNow">#REF!</definedName>
    <definedName name="BondRecovery">'[2]Bond-CDS Basis'!$C$14</definedName>
    <definedName name="bRecovery" localSheetId="1">#REF!</definedName>
    <definedName name="bRecovery">#REF!</definedName>
    <definedName name="BucketedCapitalCharges">'[10]All Methodologies IRS'!$L$21:$L$23</definedName>
    <definedName name="BumpType" localSheetId="1">#REF!</definedName>
    <definedName name="BumpType">#REF!</definedName>
    <definedName name="BuyFrom" localSheetId="1">#REF!</definedName>
    <definedName name="BuyFrom">#REF!</definedName>
    <definedName name="CalChoices" localSheetId="1">#REF!</definedName>
    <definedName name="CalChoices">#REF!</definedName>
    <definedName name="CalChoose">#REF!</definedName>
    <definedName name="CalcOptions">#REF!</definedName>
    <definedName name="CalcTypeIndex">#REF!</definedName>
    <definedName name="CalcTypeOption">#REF!</definedName>
    <definedName name="CalculationType">#REF!</definedName>
    <definedName name="CalibChoice">#REF!</definedName>
    <definedName name="CalibChoices">#REF!</definedName>
    <definedName name="calibopencol" localSheetId="1">OFFSET(IRB!LGMChoice,2,0,[0]!NumLGMChoices,1)</definedName>
    <definedName name="calibopencol">OFFSET([0]!LGMChoice,2,0,[0]!NumLGMChoices,1)</definedName>
    <definedName name="calibopencol1" localSheetId="1">OFFSET(IRB!LGMChoice,2,0,[0]!NumLGMChoices,1)</definedName>
    <definedName name="calibopencol1">OFFSET([0]!LGMChoice,2,0,[0]!NumLGMChoices,1)</definedName>
    <definedName name="CalibPoints" localSheetId="1">#REF!</definedName>
    <definedName name="CalibPoints">#REF!</definedName>
    <definedName name="Calibration" localSheetId="1">#REF!</definedName>
    <definedName name="Calibration">#REF!</definedName>
    <definedName name="CalibrationChoices" localSheetId="1">#REF!</definedName>
    <definedName name="CalibrationChoices">#REF!</definedName>
    <definedName name="CalibrationMode">#REF!</definedName>
    <definedName name="CalibrationResults">#REF!</definedName>
    <definedName name="CalibrationType">#REF!</definedName>
    <definedName name="CalibType">#REF!</definedName>
    <definedName name="CaliCell">#REF!</definedName>
    <definedName name="CaliChoice">#REF!</definedName>
    <definedName name="CallPut">#REF!</definedName>
    <definedName name="CallRetYesNo">[3]CollateralMarginCall!$C$14</definedName>
    <definedName name="CallYesNo" localSheetId="1">[4]CollateralCalculation!$C$21</definedName>
    <definedName name="CallYesNo">#REF!</definedName>
    <definedName name="CallYesNo2" localSheetId="1">[4]CollateralCalculation!$D$21</definedName>
    <definedName name="CallYesNo2">#REF!</definedName>
    <definedName name="CancellableCDSPrem">[1]BlackModel!$D$14</definedName>
    <definedName name="CancelOption">[1]BlackModel!$D$24</definedName>
    <definedName name="cBasis" localSheetId="1">#REF!</definedName>
    <definedName name="cBasis">#REF!</definedName>
    <definedName name="cBasisIndex" localSheetId="1">#REF!</definedName>
    <definedName name="cBasisIndex">#REF!</definedName>
    <definedName name="CCY" localSheetId="1">#REF!</definedName>
    <definedName name="CCY">#REF!</definedName>
    <definedName name="CDOCorrel">#REF!</definedName>
    <definedName name="CDODef" localSheetId="1">#REF!</definedName>
    <definedName name="CDODef">#REF!</definedName>
    <definedName name="CDODef2" localSheetId="1">#REF!</definedName>
    <definedName name="CDODef2">#REF!</definedName>
    <definedName name="CDOMaturity">[2]CDOPricer!$C$12</definedName>
    <definedName name="CDOPrem" localSheetId="1">#REF!</definedName>
    <definedName name="CDOPrem">#REF!</definedName>
    <definedName name="CDOPrem2">#REF!</definedName>
    <definedName name="CDOPV">#REF!</definedName>
    <definedName name="CDOPV2">#REF!</definedName>
    <definedName name="CDSCurve">#REF!</definedName>
    <definedName name="CDSMarket">#REF!</definedName>
    <definedName name="CDSMaturities">#REF!</definedName>
    <definedName name="CDSMaturity">[2]SimpleSpreadCDSPricer!$C$15</definedName>
    <definedName name="CDSPrem">[2]SimpleSpreadCDSPricer!$C$11</definedName>
    <definedName name="CDSPremium">[1]BlackModel!$D$13</definedName>
    <definedName name="CDSPV" localSheetId="1">#REF!</definedName>
    <definedName name="CDSPV">#REF!</definedName>
    <definedName name="CDSQuotes">#REF!</definedName>
    <definedName name="CDSSpread">[17]Spreadsheet7.4!$C$10</definedName>
    <definedName name="cFreq" localSheetId="1">#REF!</definedName>
    <definedName name="cFreq">#REF!</definedName>
    <definedName name="cFreqIndex" localSheetId="1">#REF!</definedName>
    <definedName name="cFreqIndex">#REF!</definedName>
    <definedName name="CholeskyInverse" localSheetId="1">#REF!</definedName>
    <definedName name="CholeskyInverse">#REF!</definedName>
    <definedName name="CholeskyMatrix">#REF!</definedName>
    <definedName name="CleanPrice" localSheetId="1">'[7]Bond Price with Excel'!$B$23</definedName>
    <definedName name="CleanPrice">'[8]Bond Price with Excel'!$B$23</definedName>
    <definedName name="cMatDate" localSheetId="1">#REF!</definedName>
    <definedName name="cMatDate">#REF!</definedName>
    <definedName name="CMDSMaturity">#REF!</definedName>
    <definedName name="CntrptyDefProb">[3]CDSCntrptyRisk!$C$14</definedName>
    <definedName name="CntrptyRec" localSheetId="1">[3]CVA!#REF!</definedName>
    <definedName name="CntrptyRec">[3]CVA!#REF!</definedName>
    <definedName name="CntrptySpread">[3]CDSCntrptyRisk!$C$8</definedName>
    <definedName name="Collateral" localSheetId="1">'[10]All Methodologies IRS'!$C$16</definedName>
    <definedName name="Collateral">#REF!</definedName>
    <definedName name="CollateralChoice" localSheetId="1">#REF!</definedName>
    <definedName name="CollateralChoice">#REF!</definedName>
    <definedName name="CollateralChoices" localSheetId="1">#REF!</definedName>
    <definedName name="CollateralChoices">#REF!</definedName>
    <definedName name="CollateralHeld">[3]CollateralMarginCall!$C$9</definedName>
    <definedName name="CollateralHeld_A">#REF!</definedName>
    <definedName name="CollateralHeld2" localSheetId="1">[4]CollateralCalculation!$D$15</definedName>
    <definedName name="CollateralHeld2">#REF!</definedName>
    <definedName name="Collateralised">'[10]All Methodologies IRS'!$C$15</definedName>
    <definedName name="CollateralisedExposure" localSheetId="1">[4]CollateralExposureSimulation!$K$264</definedName>
    <definedName name="CollateralisedExposure">#REF!</definedName>
    <definedName name="CollateralMultiplier" localSheetId="1">#REF!</definedName>
    <definedName name="CollateralMultiplier">#REF!</definedName>
    <definedName name="CollateralRequired">[3]CollateralMarginCall!$C$13</definedName>
    <definedName name="CollateralRequired2" localSheetId="1">[4]CollateralCalculation!$D$20</definedName>
    <definedName name="CollateralRequired2">#REF!</definedName>
    <definedName name="CollateralThreshold" localSheetId="1">#REF!</definedName>
    <definedName name="CollateralThreshold">#REF!</definedName>
    <definedName name="CollateralType" localSheetId="1">#REF!</definedName>
    <definedName name="CollateralType">#REF!</definedName>
    <definedName name="CompoundCorrel" localSheetId="1">#REF!</definedName>
    <definedName name="CompoundCorrel">#REF!</definedName>
    <definedName name="ComputCreditPort">#REF!</definedName>
    <definedName name="ConfidenceAlpha">[3]Portfolio!$J$8</definedName>
    <definedName name="ConfLevel">#REF!</definedName>
    <definedName name="ConfLevel1">[17]Spreadsheet7.4!$C$14</definedName>
    <definedName name="Constaints" localSheetId="1">#REF!</definedName>
    <definedName name="Constaints">#REF!</definedName>
    <definedName name="Constant">[6]CoherentRiskMeasuresExample!$I$7</definedName>
    <definedName name="Constr" localSheetId="1">#REF!</definedName>
    <definedName name="Constr">#REF!</definedName>
    <definedName name="ConstTerm" localSheetId="1">[14]MonteCarlo!$F$6</definedName>
    <definedName name="ConstTerm">[13]MonteCarlo!$F$6</definedName>
    <definedName name="CopulaCorrelation">[3]CDSCntrptyRisk!$C$9</definedName>
    <definedName name="CorP" localSheetId="1">#REF!</definedName>
    <definedName name="CorP">#REF!</definedName>
    <definedName name="Corr" localSheetId="1">#REF!</definedName>
    <definedName name="Corr">#REF!</definedName>
    <definedName name="CorrectionTerm">'[3]Impact of PV'!$C$22</definedName>
    <definedName name="CORRECTPASSWORD" localSheetId="1">#REF!</definedName>
    <definedName name="CORRECTPASSWORD">#REF!</definedName>
    <definedName name="Correl" localSheetId="1">[4]SimpleWrongWay!$C$13</definedName>
    <definedName name="Correl">#REF!</definedName>
    <definedName name="Correlation" localSheetId="1">[3]EPEAllocation!$C$11</definedName>
    <definedName name="Correlation">#REF!</definedName>
    <definedName name="Correlation_Matrix_11" localSheetId="1">#REF!</definedName>
    <definedName name="Correlation_Matrix_11">#REF!</definedName>
    <definedName name="CorrelationMatrix" localSheetId="1">#REF!</definedName>
    <definedName name="CorrelationMatrix">#REF!</definedName>
    <definedName name="CorrelationMultiplier">'[10]All Methodologies IRS'!$C$24</definedName>
    <definedName name="CorrelAttach" localSheetId="1">#REF!</definedName>
    <definedName name="CorrelAttach">#REF!</definedName>
    <definedName name="CorrelAttach2" localSheetId="1">#REF!</definedName>
    <definedName name="CorrelAttach2">#REF!</definedName>
    <definedName name="CorrelBump" localSheetId="1">#REF!</definedName>
    <definedName name="CorrelBump">#REF!</definedName>
    <definedName name="CorrelDetach">#REF!</definedName>
    <definedName name="CorrelDetach2">#REF!</definedName>
    <definedName name="CorrelExpColl" localSheetId="1">[4]CollateralandCorrelation!$C$11</definedName>
    <definedName name="CorrelExpColl">#REF!</definedName>
    <definedName name="CorrelLowerTranche" localSheetId="1">#REF!</definedName>
    <definedName name="CorrelLowerTranche">#REF!</definedName>
    <definedName name="CorrelScenario" localSheetId="1">#REF!</definedName>
    <definedName name="CorrelScenario">#REF!</definedName>
    <definedName name="CorrelUpperTranche" localSheetId="1">#REF!</definedName>
    <definedName name="CorrelUpperTranche">#REF!</definedName>
    <definedName name="CorrFXIR1">#REF!</definedName>
    <definedName name="CorrFXIR2">#REF!</definedName>
    <definedName name="CorrIR1IR2">#REF!</definedName>
    <definedName name="Countries">#REF!</definedName>
    <definedName name="Country_Key">#REF!</definedName>
    <definedName name="Country_Name">#REF!</definedName>
    <definedName name="Country_Rating">#REF!</definedName>
    <definedName name="Country_Region">#REF!</definedName>
    <definedName name="Coup" localSheetId="1">[7]YieldExample!$C$4</definedName>
    <definedName name="Coup">[8]YieldExample!$C$4</definedName>
    <definedName name="Coupon" localSheetId="1">'[7]Bond Price with Excel'!$B$12</definedName>
    <definedName name="Coupon">'[8]Bond Price with Excel'!$B$12</definedName>
    <definedName name="CouponsPerYear" localSheetId="1">'[7]Bond Price with Excel'!$B$15</definedName>
    <definedName name="CouponsPerYear">'[8]Bond Price with Excel'!$B$15</definedName>
    <definedName name="CovarianceMatrix" localSheetId="1">#REF!</definedName>
    <definedName name="CovarianceMatrix">#REF!</definedName>
    <definedName name="CovarianceMatrixInverse" localSheetId="1">[7]MeanVariance!$G$11:$J$14</definedName>
    <definedName name="CovarianceMatrixInverse">[8]MeanVariance!$G$11:$J$14</definedName>
    <definedName name="CPCHOICES" localSheetId="1">#REF!</definedName>
    <definedName name="CPCHOICES">#REF!</definedName>
    <definedName name="cpIndex" localSheetId="1">#REF!</definedName>
    <definedName name="cpIndex">#REF!</definedName>
    <definedName name="cRecovery" localSheetId="1">#REF!</definedName>
    <definedName name="cRecovery">#REF!</definedName>
    <definedName name="CREDIT_STAMP">"DSPricer"</definedName>
    <definedName name="CreditCurve">'[10]All Methodologies IRS'!$H$23:$I$27</definedName>
    <definedName name="CreditCurveStart" localSheetId="1">#REF!</definedName>
    <definedName name="CreditCurveStart">#REF!</definedName>
    <definedName name="CreditDeltaCorrMat">'[10]All Methodologies IRS'!$C$57:$G$61</definedName>
    <definedName name="CreditDeltas">'[10]All Methodologies IRS'!$J$9:$J$13</definedName>
    <definedName name="CreditModel" localSheetId="1">#REF!</definedName>
    <definedName name="CreditModel">#REF!</definedName>
    <definedName name="CreditModelType" localSheetId="1">#REF!</definedName>
    <definedName name="CreditModelType">#REF!</definedName>
    <definedName name="CreditTau" localSheetId="1">#REF!</definedName>
    <definedName name="CreditTau">#REF!</definedName>
    <definedName name="CreditVol" localSheetId="1">#REF!</definedName>
    <definedName name="CreditVol">#REF!</definedName>
    <definedName name="CSA">#REF!</definedName>
    <definedName name="CSA_A">#REF!</definedName>
    <definedName name="CSA_B">#REF!</definedName>
    <definedName name="Currency">#REF!</definedName>
    <definedName name="currency_mismatch_penalty">#REF!</definedName>
    <definedName name="CurrentEquity">[5]TradingStrategy!$C$8</definedName>
    <definedName name="CurrentExposure" localSheetId="1">[4]CollateralExposureSimulation!$C$17</definedName>
    <definedName name="CurrentExposure">#REF!</definedName>
    <definedName name="CurrentSpread">[5]TradingStrategy!$C$9</definedName>
    <definedName name="CurrentStock">[5]TreePricer!$C$14</definedName>
    <definedName name="CURVE_INDEX" localSheetId="1">#REF!</definedName>
    <definedName name="CURVE_INDEX">#REF!</definedName>
    <definedName name="CURVE_LIST" localSheetId="1">#REF!</definedName>
    <definedName name="CURVE_LIST">#REF!</definedName>
    <definedName name="CVA">[4]HedgingCVA!$B$4</definedName>
    <definedName name="DailyVol" localSheetId="1">[4]Liquidation!#REF!</definedName>
    <definedName name="DailyVol">#REF!</definedName>
    <definedName name="DailyVol2" localSheetId="1">[4]Liquidation!#REF!</definedName>
    <definedName name="DailyVol2">#REF!</definedName>
    <definedName name="DailyVolatility" localSheetId="1">[4]Liquidation!$D$15</definedName>
    <definedName name="DailyVolatility">#REF!</definedName>
    <definedName name="DateToday" localSheetId="1">#REF!</definedName>
    <definedName name="DateToday">#REF!</definedName>
    <definedName name="DayCount" localSheetId="1">'[7]Bond Price with Excel'!#REF!</definedName>
    <definedName name="DayCount">'[8]Bond Price with Excel'!#REF!</definedName>
    <definedName name="DaysToLiquidation" localSheetId="1">[4]LiquidationTimescale!$D$16</definedName>
    <definedName name="DaysToLiquidation">#REF!</definedName>
    <definedName name="DealTerm" localSheetId="1">#REF!</definedName>
    <definedName name="DealTerm">#REF!</definedName>
    <definedName name="Debt" localSheetId="1">[15]Merton!$C$17</definedName>
    <definedName name="Debt">#REF!</definedName>
    <definedName name="DebtPerShare" localSheetId="1">#REF!</definedName>
    <definedName name="DebtPerShare">#REF!</definedName>
    <definedName name="DefaultBarrier" localSheetId="1">#REF!</definedName>
    <definedName name="DefaultBarrier">#REF!</definedName>
    <definedName name="DefaultLoss" localSheetId="1">#REF!</definedName>
    <definedName name="DefaultLoss">#REF!</definedName>
    <definedName name="DefaultPayoff">'[2]Bond-CDS Basis'!$C$21</definedName>
    <definedName name="DefaultTime" localSheetId="1">#REF!</definedName>
    <definedName name="DefaultTime">#REF!</definedName>
    <definedName name="DefaultTimes">#REF!</definedName>
    <definedName name="DefComp">#REF!</definedName>
    <definedName name="DefEventLoss">#REF!</definedName>
    <definedName name="DefLegLowerTranche">#REF!</definedName>
    <definedName name="DefLegUpperTranche">#REF!</definedName>
    <definedName name="DefProb" localSheetId="1">[15]Merton!$C$23</definedName>
    <definedName name="DefProb">#REF!</definedName>
    <definedName name="DefProb1" localSheetId="1">#REF!</definedName>
    <definedName name="DefProb1">#REF!</definedName>
    <definedName name="DefProb2" localSheetId="1">#REF!</definedName>
    <definedName name="DefProb2">#REF!</definedName>
    <definedName name="DefProb3" localSheetId="1">#REF!</definedName>
    <definedName name="DefProb3">#REF!</definedName>
    <definedName name="DefProb4">#REF!</definedName>
    <definedName name="DefProb5">#REF!</definedName>
    <definedName name="DefProbs" localSheetId="1">OFFSET(#REF!,0,#REF!,#REF!,1)</definedName>
    <definedName name="DefProbs">#REF!</definedName>
    <definedName name="DefThreshold" localSheetId="1">[4]SimpleWrongWay!$C$18</definedName>
    <definedName name="DefThreshold">#REF!</definedName>
    <definedName name="DefTimesOut">#REF!</definedName>
    <definedName name="delay" localSheetId="1">#REF!</definedName>
    <definedName name="delay">#REF!</definedName>
    <definedName name="deliveredvol">[6]HedgingSimulation!$G$8</definedName>
    <definedName name="Delta" localSheetId="1">#REF!</definedName>
    <definedName name="Delta">#REF!</definedName>
    <definedName name="DeltaApprox2" localSheetId="1">#REF!</definedName>
    <definedName name="DeltaApprox2">#REF!</definedName>
    <definedName name="DeltaBump" localSheetId="1">#REF!</definedName>
    <definedName name="DeltaBump">#REF!</definedName>
    <definedName name="DeltaShift">#REF!</definedName>
    <definedName name="DeltaStart">#REF!</definedName>
    <definedName name="Detach">#REF!</definedName>
    <definedName name="Detach2">#REF!</definedName>
    <definedName name="DFSCurve">#REF!</definedName>
    <definedName name="DFSSheets">#REF!</definedName>
    <definedName name="DirtyPrice" localSheetId="1">'[7]Bond Price with Excel'!$B$25</definedName>
    <definedName name="DirtyPrice">'[8]Bond Price with Excel'!$B$25</definedName>
    <definedName name="DividendYield" localSheetId="1">#REF!</definedName>
    <definedName name="DividendYield">#REF!</definedName>
    <definedName name="DivYield" localSheetId="1">#REF!</definedName>
    <definedName name="DivYield">#REF!</definedName>
    <definedName name="DL" localSheetId="1">#REF!</definedName>
    <definedName name="DL">#REF!</definedName>
    <definedName name="DperS">#REF!</definedName>
    <definedName name="dPV">#REF!</definedName>
    <definedName name="Draws">[6]BinomialVsNormal!$C$7</definedName>
    <definedName name="Drift" localSheetId="1">#REF!</definedName>
    <definedName name="Drift">#REF!</definedName>
    <definedName name="drift2" localSheetId="1">[6]HedgingSimulation!$G$7</definedName>
    <definedName name="drift2">[18]HedgingSimulation!$G$7</definedName>
    <definedName name="Dt" localSheetId="1">[14]MonteCarlo!$F$5</definedName>
    <definedName name="Dt">[13]MonteCarlo!$F$5</definedName>
    <definedName name="DTDays" localSheetId="1">#REF!</definedName>
    <definedName name="DTDays">#REF!</definedName>
    <definedName name="DTMarketPrem" localSheetId="1">#REF!</definedName>
    <definedName name="DTMarketPrem">#REF!</definedName>
    <definedName name="Dump">[3]MonteCarlo!$N$2</definedName>
    <definedName name="Duration" localSheetId="1">'[7]Bond Price with Excel'!$B$27</definedName>
    <definedName name="Duration">'[8]Bond Price with Excel'!$B$27</definedName>
    <definedName name="DurationIndex" localSheetId="1">#REF!</definedName>
    <definedName name="DurationIndex">#REF!</definedName>
    <definedName name="Dval" localSheetId="1">[15]CreditGrades!$C$10</definedName>
    <definedName name="Dval">#REF!</definedName>
    <definedName name="EAD_CEM">'[10]All Methodologies IRS'!$F$9</definedName>
    <definedName name="EAD_SACCR">'[10]All Methodologies IRS'!$F$19</definedName>
    <definedName name="EE">[17]Spreadsheet7.1!$C$16</definedName>
    <definedName name="EffectiveMaturity">'[10]All Methodologies IRS'!$L$30</definedName>
    <definedName name="EL" localSheetId="1">#REF!</definedName>
    <definedName name="EL">#REF!</definedName>
    <definedName name="EL_E2" localSheetId="1">#REF!</definedName>
    <definedName name="EL_E2">#REF!</definedName>
    <definedName name="ELBaseTranche1" localSheetId="1">#REF!</definedName>
    <definedName name="ELBaseTranche1">#REF!</definedName>
    <definedName name="ELBaseTranche2">#REF!</definedName>
    <definedName name="end_date">#REF!</definedName>
    <definedName name="EndDate">#REF!</definedName>
    <definedName name="EPE">[3]EPEAllocation!$C$19</definedName>
    <definedName name="EPEs">[3]Portfolio!$G$8</definedName>
    <definedName name="Equity" localSheetId="1">[15]Merton!$C$16</definedName>
    <definedName name="Equity">#REF!</definedName>
    <definedName name="EquityPrice" localSheetId="1">#REF!</definedName>
    <definedName name="EquityPrice">#REF!</definedName>
    <definedName name="EquityVol" localSheetId="1">#REF!</definedName>
    <definedName name="EquityVol">#REF!</definedName>
    <definedName name="Error1" localSheetId="1">#REF!</definedName>
    <definedName name="Error1">#REF!</definedName>
    <definedName name="Errors">[3]CDSStripper!$H$9</definedName>
    <definedName name="ESCNA">#REF!</definedName>
    <definedName name="EstBeta" localSheetId="1">[4]Liquidation!$D$17</definedName>
    <definedName name="EstBeta">#REF!</definedName>
    <definedName name="EtaParam">[19]PoissonSim!$D$4</definedName>
    <definedName name="EURExpLoss" localSheetId="1">#REF!</definedName>
    <definedName name="EURExpLoss">#REF!</definedName>
    <definedName name="EuropeWeight" localSheetId="1">#REF!</definedName>
    <definedName name="EuropeWeight">#REF!</definedName>
    <definedName name="EuropeWeightOveride" localSheetId="1">#REF!</definedName>
    <definedName name="EuropeWeightOveride">#REF!</definedName>
    <definedName name="ExcessReturn">#REF!</definedName>
    <definedName name="ExchangeNotional">#REF!</definedName>
    <definedName name="ExerciseFreq">#REF!</definedName>
    <definedName name="ExerciseOptions">#REF!</definedName>
    <definedName name="ExerciseType">#REF!</definedName>
    <definedName name="ExerFreqChoice">#REF!</definedName>
    <definedName name="ExerTypeIndex">#REF!</definedName>
    <definedName name="Expiry">#REF!</definedName>
    <definedName name="ExpLoss">#REF!</definedName>
    <definedName name="ExpLoss1">#REF!</definedName>
    <definedName name="ExpLoss2">#REF!</definedName>
    <definedName name="Exposure" localSheetId="1">[4]CollateralExposureSimulation!$K$12</definedName>
    <definedName name="Exposure">#REF!</definedName>
    <definedName name="Exposure2" localSheetId="1">[4]ExposureSimulation!$F$146</definedName>
    <definedName name="Exposure2">#REF!</definedName>
    <definedName name="ExposurePaths" localSheetId="1">#REF!</definedName>
    <definedName name="ExposurePaths">#REF!</definedName>
    <definedName name="ExposurePaths2" localSheetId="1">[4]ExposureSimulation!$L$145</definedName>
    <definedName name="ExposurePaths2">#REF!</definedName>
    <definedName name="Exposures">[3]Portfolio!$E$8</definedName>
    <definedName name="ExposureStart" localSheetId="1">#REF!</definedName>
    <definedName name="ExposureStart">#REF!</definedName>
    <definedName name="ExposureVol">[3]CollateralMarginCall!$G$6</definedName>
    <definedName name="ExpRetVector" localSheetId="1">[7]MeanVariance!$D$3:$D$6</definedName>
    <definedName name="ExpRetVector">[8]MeanVariance!$D$3:$D$6</definedName>
    <definedName name="ExpShortfall">#REF!</definedName>
    <definedName name="external_costs" localSheetId="1">#REF!</definedName>
    <definedName name="external_costs">#REF!</definedName>
    <definedName name="EXTRAINFO" localSheetId="1">#REF!</definedName>
    <definedName name="EXTRAINFO">#REF!</definedName>
    <definedName name="FaceValue" localSheetId="1">[15]Merton!$C$6</definedName>
    <definedName name="FaceValue">#REF!</definedName>
    <definedName name="FairCDSPrem">[2]SimpleSpreadCDSPricer!$C$12</definedName>
    <definedName name="FairPremium" localSheetId="1">#REF!</definedName>
    <definedName name="FairPremium">#REF!</definedName>
    <definedName name="FFChoice" localSheetId="1">#REF!</definedName>
    <definedName name="FFChoice">#REF!</definedName>
    <definedName name="FinalIssCurveRange" localSheetId="1">OFFSET(#REF!,1,0,#REF!,1)</definedName>
    <definedName name="FinalIssCurveRange">OFFSET(#REF!,1,0,#REF!,1)</definedName>
    <definedName name="FinalTotIssCurveRange" localSheetId="1">#REF!</definedName>
    <definedName name="FinalTotIssCurveRange">#REF!</definedName>
    <definedName name="FirmValue" localSheetId="1">[15]Merton!$C$7</definedName>
    <definedName name="FirmValue">#REF!</definedName>
    <definedName name="FirstAnalDelta" localSheetId="1">#REF!</definedName>
    <definedName name="FirstAnalDelta">#REF!</definedName>
    <definedName name="FirstBondMat" localSheetId="1">#REF!</definedName>
    <definedName name="FirstBondMat">#REF!</definedName>
    <definedName name="FirstCalcDelta" localSheetId="1">#REF!</definedName>
    <definedName name="FirstCalcDelta">#REF!</definedName>
    <definedName name="FirstDefDate">#REF!</definedName>
    <definedName name="FirstDeltaDispl">#REF!</definedName>
    <definedName name="FirstExerciseDate">#REF!</definedName>
    <definedName name="FirstLiborRate1">#REF!</definedName>
    <definedName name="FirstLiborRate2">#REF!</definedName>
    <definedName name="FirstMaturity">#REF!</definedName>
    <definedName name="FirstMaxLoss">#REF!</definedName>
    <definedName name="FirstMinLoss">#REF!</definedName>
    <definedName name="FirstNotional">#REF!</definedName>
    <definedName name="FirstPrem">#REF!</definedName>
    <definedName name="FirstQCDDelta" localSheetId="1">[20]CDO!#REF!</definedName>
    <definedName name="FirstQCDDelta">[20]CDO!#REF!</definedName>
    <definedName name="FirstRho" localSheetId="1">#REF!</definedName>
    <definedName name="FirstRho">#REF!</definedName>
    <definedName name="FirstSeed" localSheetId="1">#REF!</definedName>
    <definedName name="FirstSeed">#REF!</definedName>
    <definedName name="FirstSeeed" localSheetId="1">#REF!</definedName>
    <definedName name="FirstSeeed">[21]MonteCarloSimulation!#REF!</definedName>
    <definedName name="FirstSwapDate" localSheetId="1">#REF!</definedName>
    <definedName name="FirstSwapDate">#REF!</definedName>
    <definedName name="FirstTenor">#REF!</definedName>
    <definedName name="FirstToDefault">#REF!</definedName>
    <definedName name="FitCorrmat">#REF!</definedName>
    <definedName name="Fixed_Rate">#REF!</definedName>
    <definedName name="FixedBasis">#REF!</definedName>
    <definedName name="FixedFreq">#REF!</definedName>
    <definedName name="FixedOrFloat">#REF!</definedName>
    <definedName name="FixedOrNot">#REF!</definedName>
    <definedName name="FlaotRefRateChoiceIndex">#REF!</definedName>
    <definedName name="FloatBasis">#REF!</definedName>
    <definedName name="FloatFreq">#REF!</definedName>
    <definedName name="FloatRate">#REF!</definedName>
    <definedName name="FloatRefRateChoice">#REF!</definedName>
    <definedName name="FloatRefRateChoiceIndex">#REF!</definedName>
    <definedName name="Floor">#REF!</definedName>
    <definedName name="Freq">#REF!</definedName>
    <definedName name="Freq1">#REF!</definedName>
    <definedName name="Freq2">#REF!</definedName>
    <definedName name="FreqChoices">#REF!</definedName>
    <definedName name="FreqIndex">#REF!</definedName>
    <definedName name="FreqTable1">#REF!</definedName>
    <definedName name="FreqTable2">#REF!</definedName>
    <definedName name="FRTBOption">'[10]All Methodologies IRS'!$C$21</definedName>
    <definedName name="FVMDef" localSheetId="1">#REF!</definedName>
    <definedName name="FVMDef">#REF!</definedName>
    <definedName name="FVMMarketPrem" localSheetId="1">#REF!</definedName>
    <definedName name="FVMMarketPrem">#REF!</definedName>
    <definedName name="FVMPrem" localSheetId="1">#REF!</definedName>
    <definedName name="FVMPrem">#REF!</definedName>
    <definedName name="FVMPV">#REF!</definedName>
    <definedName name="FVMResults">#REF!</definedName>
    <definedName name="Fwd">[5]TreePricer!$C$25</definedName>
    <definedName name="FXDelta">#REF!</definedName>
    <definedName name="FXDeltaWeight">#REF!</definedName>
    <definedName name="FXVega">#REF!</definedName>
    <definedName name="FXVegaWeight">#REF!</definedName>
    <definedName name="FXVol" localSheetId="1">#REF!</definedName>
    <definedName name="FXVol">#REF!</definedName>
    <definedName name="FXVolatility">#REF!</definedName>
    <definedName name="Gamma" localSheetId="1">[7]MeanVariance!$O$23</definedName>
    <definedName name="Gamma">[8]MeanVariance!$O$23</definedName>
    <definedName name="gamma2" localSheetId="1">[7]MeanVariance!$C$32</definedName>
    <definedName name="gamma2">[8]MeanVariance!$C$32</definedName>
    <definedName name="GaussC">[2]CDOPricer!$Q$14</definedName>
    <definedName name="GI" localSheetId="1">#REF!</definedName>
    <definedName name="GI">#REF!</definedName>
    <definedName name="Global_Local" localSheetId="1">#REF!</definedName>
    <definedName name="Global_Local">#REF!</definedName>
    <definedName name="GlobalRec">[2]CDOPricer!$C$11</definedName>
    <definedName name="Gone" localSheetId="1">#REF!</definedName>
    <definedName name="Gone">#REF!</definedName>
    <definedName name="Greeks">#REF!</definedName>
    <definedName name="GuessYield" localSheetId="1">[7]YieldExample!$C$3</definedName>
    <definedName name="GuessYield">[8]YieldExample!$C$3</definedName>
    <definedName name="HazardRae" localSheetId="1">[22]Survival!#REF!</definedName>
    <definedName name="HazardRae">[22]Survival!#REF!</definedName>
    <definedName name="HazardRage" localSheetId="1">[22]Survival!#REF!</definedName>
    <definedName name="HazardRage">[22]Survival!#REF!</definedName>
    <definedName name="HazardRate" localSheetId="1">[17]Spreadsheet7.4!$C$17</definedName>
    <definedName name="Hazardrate">#REF!</definedName>
    <definedName name="HazardRate1" localSheetId="1">#REF!</definedName>
    <definedName name="HazardRate1">#REF!</definedName>
    <definedName name="HazardRate2" localSheetId="1">#REF!</definedName>
    <definedName name="HazardRate2">#REF!</definedName>
    <definedName name="HazardRate3" localSheetId="1">#REF!</definedName>
    <definedName name="HazardRate3">#REF!</definedName>
    <definedName name="HazardRate4">#REF!</definedName>
    <definedName name="HazardRate5">#REF!</definedName>
    <definedName name="HazardRates">[3]CDSStripper!$C$9</definedName>
    <definedName name="HedgeAmount">[5]TradingStrategy!$C$10</definedName>
    <definedName name="HedgingFreq" localSheetId="1">#REF!</definedName>
    <definedName name="HedgingFreq">#REF!</definedName>
    <definedName name="HistHigh" localSheetId="1">#REF!</definedName>
    <definedName name="HistHigh">#REF!</definedName>
    <definedName name="HistLow" localSheetId="1">#REF!</definedName>
    <definedName name="HistLow">#REF!</definedName>
    <definedName name="Histogram1Output">#REF!</definedName>
    <definedName name="Histogram2Output">#REF!</definedName>
    <definedName name="HistoricalError">#REF!</definedName>
    <definedName name="HistStart">#REF!</definedName>
    <definedName name="HistWeight">#REF!</definedName>
    <definedName name="HR">[1]BlackModel!$D$20</definedName>
    <definedName name="IA" localSheetId="1">[9]CollateralMarginCall!#REF!</definedName>
    <definedName name="IA">[9]CollateralMarginCall!#REF!</definedName>
    <definedName name="IA_A">#REF!</definedName>
    <definedName name="IA_B">#REF!</definedName>
    <definedName name="ImpliedVolatility">[6]HedgingSimulation!$C$10</definedName>
    <definedName name="IndependentAmount">[3]CollateralMarginCall!$C$7</definedName>
    <definedName name="IndependentAmount2">[3]CollateralMarginCall!$D$7</definedName>
    <definedName name="Index" localSheetId="1">#REF!</definedName>
    <definedName name="Index">#REF!</definedName>
    <definedName name="IndexELEur" localSheetId="1">#REF!</definedName>
    <definedName name="IndexELEur">#REF!</definedName>
    <definedName name="IndexELUS" localSheetId="1">#REF!</definedName>
    <definedName name="IndexELUS">#REF!</definedName>
    <definedName name="IndexExpLossEUR">#REF!</definedName>
    <definedName name="IndexExpLossUS">#REF!</definedName>
    <definedName name="IndexLevels">#REF!</definedName>
    <definedName name="IndexPV">#REF!</definedName>
    <definedName name="IndexRiskyLevel">#REF!</definedName>
    <definedName name="IndexStart">#REF!</definedName>
    <definedName name="Industry_Description">#REF!</definedName>
    <definedName name="Industry_Lookup_Table">#REF!</definedName>
    <definedName name="Industry_Number">#REF!</definedName>
    <definedName name="InitialCollateral" localSheetId="1">[4]CollateralandCorrelation!$C$15</definedName>
    <definedName name="InitialCollateral">#REF!</definedName>
    <definedName name="InitialExposure" localSheetId="1">[4]CollateralandCorrelation!$C$14</definedName>
    <definedName name="InitialExposure">#REF!</definedName>
    <definedName name="InitialPV">'[23]Sheet1 (2)'!$D$4</definedName>
    <definedName name="INST_TYPE" localSheetId="1">#REF!</definedName>
    <definedName name="INST_TYPE">#REF!</definedName>
    <definedName name="InstName" localSheetId="1">#REF!</definedName>
    <definedName name="InstName">#REF!</definedName>
    <definedName name="IntegrationPoints" localSheetId="1">#REF!</definedName>
    <definedName name="IntegrationPoints">#REF!</definedName>
    <definedName name="IntegrationPoints2">#REF!</definedName>
    <definedName name="Intensity">#REF!</definedName>
    <definedName name="IntensityCntrpty">[3]CVA!$D$8</definedName>
    <definedName name="IntensitySystemic" localSheetId="1">[3]CVA!#REF!</definedName>
    <definedName name="IntensitySystemic">[3]CVA!#REF!</definedName>
    <definedName name="IntensityUs" localSheetId="1">[3]CVA!#REF!</definedName>
    <definedName name="IntensityUs">[3]CVA!#REF!</definedName>
    <definedName name="InterCorrel" localSheetId="1">[20]CDO!#REF!</definedName>
    <definedName name="InterCorrel">[20]CDO!#REF!</definedName>
    <definedName name="Interest_Rate">[2]CDOPricer!$C$14</definedName>
    <definedName name="InterestR">[5]TreePricer!$C$18</definedName>
    <definedName name="InterestRate" localSheetId="1">#REF!</definedName>
    <definedName name="InterestRate">#REF!</definedName>
    <definedName name="InterestRateNow" localSheetId="1">#REF!</definedName>
    <definedName name="InterestRateNow">#REF!</definedName>
    <definedName name="InterpType">[24]BaseCorrelation!$C$16</definedName>
    <definedName name="Interval" localSheetId="1">#REF!</definedName>
    <definedName name="Interval">#REF!</definedName>
    <definedName name="IntPoints">#REF!</definedName>
    <definedName name="IntRate" localSheetId="1">[6]HedgingSimulation!$C$9</definedName>
    <definedName name="IntRate">#REF!</definedName>
    <definedName name="iNumUnderlyings" localSheetId="1">#REF!</definedName>
    <definedName name="iNumUnderlyings">#REF!</definedName>
    <definedName name="IR" localSheetId="1">#REF!</definedName>
    <definedName name="IR">[6]OptionPricer!$C$9</definedName>
    <definedName name="IRate" localSheetId="1">[17]Spreadsheet7.4!$C$12</definedName>
    <definedName name="IRate">[3]CVA!$C$13</definedName>
    <definedName name="IRCurve">'[10]All Methodologies IRS'!$E$27:$F$32</definedName>
    <definedName name="IRDeltaCorrMat">'[10]All Methodologies IRS'!$C$51:$E$53</definedName>
    <definedName name="IRDeltas">'[10]All Methodologies IRS'!$J$14:$J$16</definedName>
    <definedName name="IRDeltaWeights">'[10]All Methodologies IRS'!$K$14:$K$16</definedName>
    <definedName name="IRFXCorr">#REF!</definedName>
    <definedName name="IRMC" localSheetId="1">[14]MonteCarlo!$C$5</definedName>
    <definedName name="IRMC">[13]MonteCarlo!$C$5</definedName>
    <definedName name="IRModel" localSheetId="1">#REF!</definedName>
    <definedName name="IRModel">#REF!</definedName>
    <definedName name="IRModelType" localSheetId="1">#REF!</definedName>
    <definedName name="IRModelType">#REF!</definedName>
    <definedName name="IRTau" localSheetId="1">#REF!</definedName>
    <definedName name="IRTau">#REF!</definedName>
    <definedName name="IRVega">'[10]All Methodologies IRS'!$J$17</definedName>
    <definedName name="IRVegaWeight">'[10]All Methodologies IRS'!$K$17</definedName>
    <definedName name="IRVol" localSheetId="1">'[10]All Methodologies IRS'!$C$13</definedName>
    <definedName name="IRVol">#REF!</definedName>
    <definedName name="IRVol2">#REF!</definedName>
    <definedName name="IssCurveRangeCopy" localSheetId="1">OFFSET(#REF!,1+#REF!,0,#REF!,1)</definedName>
    <definedName name="IssCurveRangeCopy">OFFSET(#REF!,1+#REF!,0,#REF!,1)</definedName>
    <definedName name="ISSUE_DATE" localSheetId="1">#REF!</definedName>
    <definedName name="ISSUE_DATE">#REF!</definedName>
    <definedName name="ISSUER" localSheetId="1">#REF!</definedName>
    <definedName name="ISSUER">#REF!</definedName>
    <definedName name="Issuer_Curve_cell" localSheetId="1">#REF!</definedName>
    <definedName name="Issuer_Curve_cell">#REF!</definedName>
    <definedName name="ISSUER_INDEX">#REF!</definedName>
    <definedName name="ISSUER_LIST">#REF!</definedName>
    <definedName name="ISSUER_MAPPINGS">#REF!</definedName>
    <definedName name="IssuerCurves" localSheetId="1">OFFSET(#REF!,0,0,#REF!,1)</definedName>
    <definedName name="IssuerCurves">OFFSET(#REF!,0,0,#REF!,1)</definedName>
    <definedName name="iter" localSheetId="1">#REF!</definedName>
    <definedName name="iter">#REF!</definedName>
    <definedName name="JumpFreq" localSheetId="1">#REF!</definedName>
    <definedName name="JumpFreq">#REF!</definedName>
    <definedName name="JumpSize" localSheetId="1">#REF!</definedName>
    <definedName name="JumpSize">#REF!</definedName>
    <definedName name="Knockout">#REF!</definedName>
    <definedName name="Knockout2">#REF!</definedName>
    <definedName name="kurtosis">#REF!</definedName>
    <definedName name="Label">#REF!</definedName>
    <definedName name="Lamba" localSheetId="1">[15]CreditGrades!$C$8</definedName>
    <definedName name="Lamba">#REF!</definedName>
    <definedName name="lambda" localSheetId="1">#REF!</definedName>
    <definedName name="lambda">#REF!</definedName>
    <definedName name="lamda" localSheetId="1">#REF!</definedName>
    <definedName name="lamda">#REF!</definedName>
    <definedName name="lamda2" localSheetId="1">[6]ExponentialDampingEstimate!$C$6</definedName>
    <definedName name="lamda2">[18]ExponentialDampingEstimate!$C$6</definedName>
    <definedName name="lamda3">[6]ExponentialDampingEstimate!$C$6</definedName>
    <definedName name="LamdaParam">[19]PoissonSim!#REF!</definedName>
    <definedName name="LASTCPN_RATE" localSheetId="1">#REF!</definedName>
    <definedName name="LASTCPN_RATE">#REF!</definedName>
    <definedName name="LastExerciseDate" localSheetId="1">#REF!</definedName>
    <definedName name="LastExerciseDate">#REF!</definedName>
    <definedName name="Lbar" localSheetId="1">[15]CreditGrades!$C$7</definedName>
    <definedName name="Lbar">#REF!</definedName>
    <definedName name="LengthBCCurve" localSheetId="1">#REF!</definedName>
    <definedName name="LengthBCCurve">#REF!</definedName>
    <definedName name="LengthBCEur" localSheetId="1">#REF!</definedName>
    <definedName name="LengthBCEur">#REF!</definedName>
    <definedName name="LengthBCUS" localSheetId="1">#REF!</definedName>
    <definedName name="LengthBCUS">#REF!</definedName>
    <definedName name="Leverage">#REF!</definedName>
    <definedName name="LGD">[16]BaselIIFormula!$D$8</definedName>
    <definedName name="LGDCalib">'[10]All Methodologies IRS'!$I$28</definedName>
    <definedName name="LGDCVA">'[10]All Methodologies IRS'!$I$29</definedName>
    <definedName name="LGM_STAMP">"LGM"</definedName>
    <definedName name="LGMChoice" localSheetId="1">#REF!</definedName>
    <definedName name="LGMChoice">#REF!</definedName>
    <definedName name="LGMopencol" localSheetId="1">OFFSET(IRB!LGMChoice,2,0,[0]!NumLGMChoices,1)</definedName>
    <definedName name="LGMopencol">OFFSET([0]!LGMChoice,2,0,[0]!NumLGMChoices,1)</definedName>
    <definedName name="LiborRateChoice" localSheetId="1">#REF!</definedName>
    <definedName name="LiborRateChoice">#REF!</definedName>
    <definedName name="LiborRateCol" localSheetId="1">OFFSET(#REF!,0,0,#REF!,1)</definedName>
    <definedName name="LiborRateCol">OFFSET(#REF!,0,0,#REF!,1)</definedName>
    <definedName name="LiborRateCol1" localSheetId="1">OFFSET(#REF!,0,0,#REF!,1)</definedName>
    <definedName name="LiborRateCol1">OFFSET(#REF!,0,0,#REF!,1)</definedName>
    <definedName name="littled" localSheetId="1">[15]CreditGrades!$C$16</definedName>
    <definedName name="littled">#REF!</definedName>
    <definedName name="LOAD_MKT" localSheetId="1">#REF!</definedName>
    <definedName name="LOAD_MKT">#REF!</definedName>
    <definedName name="LookUnderlying" localSheetId="1">#REF!</definedName>
    <definedName name="LookUnderlying">#REF!</definedName>
    <definedName name="LossBins" localSheetId="1">#REF!</definedName>
    <definedName name="LossBins">#REF!</definedName>
    <definedName name="LossGivenDefault" localSheetId="1">[15]Merton!$C$25</definedName>
    <definedName name="LossGivenDefault">#REF!</definedName>
    <definedName name="LossonLiquidation" localSheetId="1">[4]LiquidationTimescale!#REF!</definedName>
    <definedName name="LossonLiquidation">#REF!</definedName>
    <definedName name="Lower" localSheetId="1">[11]SimpleIntegration!$C$2</definedName>
    <definedName name="Lower">[12]SimpleIntegration!$C$2</definedName>
    <definedName name="LowerBaseTrancheAttach" localSheetId="1">#REF!</definedName>
    <definedName name="LowerBaseTrancheAttach">#REF!</definedName>
    <definedName name="LowerTrancheEURCorrel" localSheetId="1">#REF!</definedName>
    <definedName name="LowerTrancheEURCorrel">#REF!</definedName>
    <definedName name="LowerTrancheUSCorrel" localSheetId="1">#REF!</definedName>
    <definedName name="LowerTrancheUSCorrel">#REF!</definedName>
    <definedName name="LTBorrowings">#REF!</definedName>
    <definedName name="LTMean">#REF!</definedName>
    <definedName name="MA">'[10]All Methodologies IRS'!$C$33</definedName>
    <definedName name="MAN_IP" localSheetId="1">#REF!</definedName>
    <definedName name="MAN_IP">#REF!</definedName>
    <definedName name="MAN_MKT" localSheetId="1">#REF!</definedName>
    <definedName name="MAN_MKT">#REF!</definedName>
    <definedName name="ManualMarket" localSheetId="1">#REF!</definedName>
    <definedName name="ManualMarket">#REF!</definedName>
    <definedName name="Mapset">#REF!</definedName>
    <definedName name="Mapsets_count_cell">#REF!</definedName>
    <definedName name="MargEPE">'[3]Impact of PV'!$C$19</definedName>
    <definedName name="MargEPE1">[3]EPEAllocation!$C$22</definedName>
    <definedName name="MargEPE2">[3]EPEAllocation!$D$22</definedName>
    <definedName name="MarginalES">#REF!</definedName>
    <definedName name="Market" localSheetId="1">#REF!</definedName>
    <definedName name="Market">#REF!</definedName>
    <definedName name="MarketChoice" localSheetId="1">#REF!</definedName>
    <definedName name="MarketChoice">#REF!</definedName>
    <definedName name="MarketChoiceCell" localSheetId="1">#REF!</definedName>
    <definedName name="MarketChoiceCell">#REF!</definedName>
    <definedName name="marketcountcol">#REF!</definedName>
    <definedName name="MarketId">#REF!</definedName>
    <definedName name="MarketPrem">#REF!</definedName>
    <definedName name="MarketSheet">#REF!</definedName>
    <definedName name="Mat">#REF!</definedName>
    <definedName name="MatDate">#REF!</definedName>
    <definedName name="Maturity" localSheetId="1">'[10]All Methodologies IRS'!$C$9</definedName>
    <definedName name="Maturity">#REF!</definedName>
    <definedName name="Maturity_11" localSheetId="1">#REF!</definedName>
    <definedName name="Maturity_11">#REF!</definedName>
    <definedName name="maturity_mismatch_penalty" localSheetId="1">#REF!</definedName>
    <definedName name="maturity_mismatch_penalty">#REF!</definedName>
    <definedName name="Maturity2" localSheetId="1">#REF!</definedName>
    <definedName name="Maturity2">#REF!</definedName>
    <definedName name="MaturityDate" localSheetId="1">'[7]Bond Price with Excel'!$B$16</definedName>
    <definedName name="MaturityDate">'[8]Bond Price with Excel'!$B$16</definedName>
    <definedName name="MaturityMC" localSheetId="1">[14]MonteCarlo!$C$6</definedName>
    <definedName name="MaturityMC">[13]MonteCarlo!$C$6</definedName>
    <definedName name="MaxBinLoss" localSheetId="1">#REF!</definedName>
    <definedName name="MaxBinLoss">#REF!</definedName>
    <definedName name="MaxDefaults" localSheetId="1">#REF!</definedName>
    <definedName name="MaxDefaults">#REF!</definedName>
    <definedName name="MaxLossStart" localSheetId="1">#REF!</definedName>
    <definedName name="MaxLossStart">#REF!</definedName>
    <definedName name="MCDefLeg">[2]CDOPricer!$C$22</definedName>
    <definedName name="MCorTree" localSheetId="1">#REF!</definedName>
    <definedName name="MCorTree">#REF!</definedName>
    <definedName name="MCOutput">[3]MonteCarlo!$J$8</definedName>
    <definedName name="MCPaths">[3]CollateralMarginCall!$G$9</definedName>
    <definedName name="MCPremLeg">[2]CDOPricer!$C$23</definedName>
    <definedName name="MCSims">[3]MonteCarlo!$C$8</definedName>
    <definedName name="Mean" localSheetId="1">[4]WCEandEPE!$C$11</definedName>
    <definedName name="Mean">#REF!</definedName>
    <definedName name="Mean1" localSheetId="1">[11]SimpleCovarianceWithWeights!$C$6</definedName>
    <definedName name="Mean1">[12]SimpleCovarianceWithWeights!$C$6</definedName>
    <definedName name="Mean2" localSheetId="1">[11]SimpleCovarianceWithWeights!$C$7</definedName>
    <definedName name="Mean2">[12]SimpleCovarianceWithWeights!$C$7</definedName>
    <definedName name="MeanExposure">[3]Netting!$D$8</definedName>
    <definedName name="MeanMtM">[25]Spreadsheet3.1!$C$10</definedName>
    <definedName name="MeanReturn" localSheetId="1">#REF!</definedName>
    <definedName name="MeanReturn">#REF!</definedName>
    <definedName name="MeanRev" localSheetId="1">#REF!</definedName>
    <definedName name="MeanRev">#REF!</definedName>
    <definedName name="MertonMaturity">[24]Merton!$C$13</definedName>
    <definedName name="MF">'[10]All Methodologies IRS'!$F$14</definedName>
    <definedName name="MinAmountInput" localSheetId="1">#REF!</definedName>
    <definedName name="MinAmountInput">#REF!</definedName>
    <definedName name="MinDefaults" localSheetId="1">#REF!</definedName>
    <definedName name="MinDefaults">#REF!</definedName>
    <definedName name="MinimumTransferAmount">[3]CollateralMarginCall!$C$10</definedName>
    <definedName name="MinimumTransferAmount2">[3]CollateralMarginCall!$D$10</definedName>
    <definedName name="MinLossStart" localSheetId="1">#REF!</definedName>
    <definedName name="MinLossStart">#REF!</definedName>
    <definedName name="MinorityInterest" localSheetId="1">#REF!</definedName>
    <definedName name="MinorityInterest">#REF!</definedName>
    <definedName name="MKT" localSheetId="1">#REF!</definedName>
    <definedName name="MKT">#REF!</definedName>
    <definedName name="mktid">#REF!</definedName>
    <definedName name="MktPriceCell">#REF!</definedName>
    <definedName name="MnL">#REF!</definedName>
    <definedName name="ModelChoiceInt">#REF!</definedName>
    <definedName name="ModelNameMod">#REF!</definedName>
    <definedName name="ModifiedDuration" localSheetId="1">'[7]Bond Price with Excel'!#REF!</definedName>
    <definedName name="ModifiedDuration">'[8]Bond Price with Excel'!#REF!</definedName>
    <definedName name="MTA">#REF!</definedName>
    <definedName name="MTA_A">#REF!</definedName>
    <definedName name="MTA_B">#REF!</definedName>
    <definedName name="MTM">'[10]All Methodologies IRS'!$C$14</definedName>
    <definedName name="MtM_A">#REF!</definedName>
    <definedName name="MtM_B">#REF!</definedName>
    <definedName name="MTMVals">#REF!</definedName>
    <definedName name="Mu" localSheetId="1">[17]Spreadsheet7.1!$C$11</definedName>
    <definedName name="Mu">#REF!</definedName>
    <definedName name="mu1a" localSheetId="1">[6]TwoAssetsEfficientFrontier!$C$7</definedName>
    <definedName name="mu1a">[18]TwoAssetsEfficientFrontier!$C$7</definedName>
    <definedName name="mu2a" localSheetId="1">[6]TwoAssetsEfficientFrontier!$C$8</definedName>
    <definedName name="mu2a">[18]TwoAssetsEfficientFrontier!$C$8</definedName>
    <definedName name="Mult1">[3]EPEAllocation!$H$7</definedName>
    <definedName name="Mult2">[3]EPEAllocation!$I$7</definedName>
    <definedName name="Multiplier" localSheetId="1">'[10]All Methodologies IRS'!$F$17</definedName>
    <definedName name="Multiplier">[6]CoherentRiskMeasuresExample!$I$8</definedName>
    <definedName name="MxL" localSheetId="1">#REF!</definedName>
    <definedName name="MxL">#REF!</definedName>
    <definedName name="NAME" localSheetId="1">#REF!</definedName>
    <definedName name="NAME">#REF!</definedName>
    <definedName name="NameInDef" localSheetId="1">#REF!</definedName>
    <definedName name="NameInDef">#REF!</definedName>
    <definedName name="NbBond">#REF!</definedName>
    <definedName name="NbParam">#REF!</definedName>
    <definedName name="NbPoints">#REF!</definedName>
    <definedName name="NewEstimate">[3]CDSStripper!$L$10</definedName>
    <definedName name="NextCouponDate" localSheetId="1">'[7]Bond Price with Excel'!$B$19</definedName>
    <definedName name="NextCouponDate">'[8]Bond Price with Excel'!$B$19</definedName>
    <definedName name="non_utilisation_relief" localSheetId="1">#REF!</definedName>
    <definedName name="non_utilisation_relief">#REF!</definedName>
    <definedName name="Notional" localSheetId="1">#REF!</definedName>
    <definedName name="Notional">#REF!</definedName>
    <definedName name="Notional_11" localSheetId="1">#REF!</definedName>
    <definedName name="Notional_11">#REF!</definedName>
    <definedName name="Notionals">#REF!</definedName>
    <definedName name="NUM_CURVES">#REF!</definedName>
    <definedName name="NUM_ISSUERS">#REF!</definedName>
    <definedName name="NUM_MAPPINGS">#REF!</definedName>
    <definedName name="NUM_QUOTES">#REF!</definedName>
    <definedName name="NumBonds">#REF!</definedName>
    <definedName name="NumCalibInstruments">#REF!</definedName>
    <definedName name="NumCalls" localSheetId="1">[4]CollateralExposureSimulation!$B$9</definedName>
    <definedName name="NumCalls">#REF!</definedName>
    <definedName name="NumCoupons" localSheetId="1">#REF!</definedName>
    <definedName name="NumCoupons">#REF!</definedName>
    <definedName name="NumDeltas" localSheetId="1">#REF!</definedName>
    <definedName name="NumDeltas">#REF!</definedName>
    <definedName name="NumExercises" localSheetId="1">#REF!</definedName>
    <definedName name="NumExercises">#REF!</definedName>
    <definedName name="NumFactors">#REF!</definedName>
    <definedName name="NumFloatCoupons">#REF!</definedName>
    <definedName name="NumInstruments">#REF!</definedName>
    <definedName name="NumLGMChoices">#REF!</definedName>
    <definedName name="NumMarketChoices">#REF!</definedName>
    <definedName name="NumNames" localSheetId="1">[3]Portfolio!$J$10</definedName>
    <definedName name="NumNames">#REF!</definedName>
    <definedName name="NumNames2" localSheetId="1">#REF!</definedName>
    <definedName name="NUmNames2">[26]Portfolio!$G$8</definedName>
    <definedName name="NumPremiums" localSheetId="1">#REF!</definedName>
    <definedName name="NumPremiums">#REF!</definedName>
    <definedName name="NumRatings" localSheetId="1">#REF!</definedName>
    <definedName name="NumRatings">#REF!</definedName>
    <definedName name="NumRefRateChoices">#REF!</definedName>
    <definedName name="NumReqTnors">#REF!</definedName>
    <definedName name="NumSims">#REF!</definedName>
    <definedName name="NumSteps">[5]TreePricer!$C$10</definedName>
    <definedName name="NumTenors" localSheetId="1">#REF!</definedName>
    <definedName name="NumTenors">#REF!</definedName>
    <definedName name="NumTranches" localSheetId="1">#REF!</definedName>
    <definedName name="NumTranches">#REF!</definedName>
    <definedName name="NumUnderlyings" localSheetId="1">#REF!</definedName>
    <definedName name="NumUnderlyings">#REF!</definedName>
    <definedName name="Obligor_Group">#REF!</definedName>
    <definedName name="Obligor_Location">#REF!</definedName>
    <definedName name="Obligor_Name">#REF!</definedName>
    <definedName name="OFFER">#REF!</definedName>
    <definedName name="OldPortfolioData">#REF!</definedName>
    <definedName name="OptComp">#REF!</definedName>
    <definedName name="OptionData">[5]OptionPriceTree!$A$1</definedName>
    <definedName name="OptionDelta" localSheetId="1">#REF!</definedName>
    <definedName name="OptionDelta">#REF!</definedName>
    <definedName name="OptionDeltaApprox" localSheetId="1">#REF!</definedName>
    <definedName name="OptionDeltaApprox">#REF!</definedName>
    <definedName name="OptionImpVol" localSheetId="1">#REF!</definedName>
    <definedName name="OptionImpVol">#REF!</definedName>
    <definedName name="OptionIR">#REF!</definedName>
    <definedName name="OptionMaturity">#REF!</definedName>
    <definedName name="OptionPayoff">[5]TreePricer!$C$9</definedName>
    <definedName name="OptionPrem" localSheetId="1">#REF!</definedName>
    <definedName name="OptionPrem">#REF!</definedName>
    <definedName name="OptionPrice">[5]TreePricer!$C$22</definedName>
    <definedName name="OptionPVMC" localSheetId="1">#REF!</definedName>
    <definedName name="OptionPVMC">#REF!</definedName>
    <definedName name="OptionSpot" localSheetId="1">#REF!</definedName>
    <definedName name="OptionSpot">#REF!</definedName>
    <definedName name="OptionStrike" localSheetId="1">#REF!</definedName>
    <definedName name="OptionStrike">#REF!</definedName>
    <definedName name="OptionType">#REF!</definedName>
    <definedName name="OptionTypeCell">#REF!</definedName>
    <definedName name="OptionValue">#REF!</definedName>
    <definedName name="Original_Obl_Loc">#REF!</definedName>
    <definedName name="OtherLTLiab">#REF!</definedName>
    <definedName name="OtherSTLIab">#REF!</definedName>
    <definedName name="Output" localSheetId="1">'[3]Impact of PV'!$B$25</definedName>
    <definedName name="Output">#REF!</definedName>
    <definedName name="OutputGI" localSheetId="1">#REF!</definedName>
    <definedName name="OutputGI">#REF!</definedName>
    <definedName name="OverwriteBaseCorrel" localSheetId="1">#REF!</definedName>
    <definedName name="OverwriteBaseCorrel">#REF!</definedName>
    <definedName name="Param" localSheetId="1">[9]MonteCarlo!#REF!</definedName>
    <definedName name="Param">#REF!</definedName>
    <definedName name="Param1" localSheetId="1">[9]MonteCarlo!#REF!</definedName>
    <definedName name="Param1">#REF!</definedName>
    <definedName name="Param2" localSheetId="1">#REF!</definedName>
    <definedName name="Param2">#REF!</definedName>
    <definedName name="PASSWORD" localSheetId="1">#REF!</definedName>
    <definedName name="PASSWORD">#REF!</definedName>
    <definedName name="PayDateCell" localSheetId="1">#REF!</definedName>
    <definedName name="PayDateCell">#REF!</definedName>
    <definedName name="PayoffRef">#REF!</definedName>
    <definedName name="Payoffs" localSheetId="1">OFFSET(#REF!,0,0,#REF!,1)</definedName>
    <definedName name="Payoffs">OFFSET(#REF!,0,0,#REF!,1)</definedName>
    <definedName name="PayRec">'[10]All Methodologies IRS'!$C$11</definedName>
    <definedName name="PD">IRB!$C$3</definedName>
    <definedName name="PD99.9">'[10]All Methodologies IRS'!$C$30</definedName>
    <definedName name="PDef">'[10]All Methodologies IRS'!$C$25</definedName>
    <definedName name="Percentile">[6]CoherentRiskMeasuresExample!$I$9</definedName>
    <definedName name="PercPriceImpact" localSheetId="1">[4]LiquidationTimescale!$D$19</definedName>
    <definedName name="PercPriceImpact">#REF!</definedName>
    <definedName name="PFE">'[10]All Methodologies IRS'!$F$18</definedName>
    <definedName name="Points" localSheetId="1">[11]SimpleIntegration!$C$4</definedName>
    <definedName name="Points">[12]SimpleIntegration!$C$4</definedName>
    <definedName name="PortExpLoss" localSheetId="1">#REF!</definedName>
    <definedName name="PortExpLoss">#REF!</definedName>
    <definedName name="PortfolioData">#REF!</definedName>
    <definedName name="PortfolioMTM">[3]CollateralMarginCall!$C$6</definedName>
    <definedName name="PortfolioSize">'[10]All Methodologies IRS'!#REF!</definedName>
    <definedName name="PortfolioStats">#REF!</definedName>
    <definedName name="PortfolioStatsOld">#REF!</definedName>
    <definedName name="Positions" localSheetId="1">#REF!</definedName>
    <definedName name="Positions">#REF!</definedName>
    <definedName name="PostInterval">[3]CollateralMarginCall!$G$7</definedName>
    <definedName name="PreferredEquity" localSheetId="1">#REF!</definedName>
    <definedName name="PreferredEquity">#REF!</definedName>
    <definedName name="Prem1" localSheetId="1">#REF!</definedName>
    <definedName name="Prem1">#REF!</definedName>
    <definedName name="Prem2" localSheetId="1">#REF!</definedName>
    <definedName name="Prem2">#REF!</definedName>
    <definedName name="PremComp">#REF!</definedName>
    <definedName name="Premium">#REF!</definedName>
    <definedName name="PremiumDateCell">#REF!</definedName>
    <definedName name="PremiumModel">#REF!</definedName>
    <definedName name="PremiumPaid">#REF!</definedName>
    <definedName name="PremiumPaid2">#REF!</definedName>
    <definedName name="PremiumStart">#REF!</definedName>
    <definedName name="PremLeg2">#REF!</definedName>
    <definedName name="Price" localSheetId="1">[7]YieldExample!$C$2</definedName>
    <definedName name="Price">[8]YieldExample!$C$2</definedName>
    <definedName name="PrincingError" localSheetId="1">#REF!</definedName>
    <definedName name="PrincingError">#REF!</definedName>
    <definedName name="Prob">[6]BinomialVsNormal!$C$6</definedName>
    <definedName name="ProductType" localSheetId="1">#REF!</definedName>
    <definedName name="ProductType">#REF!</definedName>
    <definedName name="PV">[4]HedgingCVA!$B$3</definedName>
    <definedName name="PVDef" localSheetId="1">#REF!</definedName>
    <definedName name="PVDef">#REF!</definedName>
    <definedName name="PVDef2" localSheetId="1">#REF!</definedName>
    <definedName name="PVDef2">#REF!</definedName>
    <definedName name="PVPrem">#REF!</definedName>
    <definedName name="PVPrem2">#REF!</definedName>
    <definedName name="Quantile">#REF!</definedName>
    <definedName name="QuantoMkt">#REF!</definedName>
    <definedName name="RandomNumberRange">#REF!</definedName>
    <definedName name="RandomNumbers">#REF!</definedName>
    <definedName name="RanNums">[27]RandomNumbers!$B$4</definedName>
    <definedName name="RanNums2">[27]RandomNumbers!$H$4</definedName>
    <definedName name="rate" localSheetId="1">'[28]Class Problems'!$H$39</definedName>
    <definedName name="rate">'[29]Class Problems'!$H$39</definedName>
    <definedName name="Rate2" localSheetId="1">#REF!</definedName>
    <definedName name="Rate2">#REF!</definedName>
    <definedName name="Rates">[4]HedgingCVA!$B$7</definedName>
    <definedName name="Rating" localSheetId="1">'[10]All Methodologies IRS'!$C$19</definedName>
    <definedName name="Rating">#REF!</definedName>
    <definedName name="Rating_11" localSheetId="1">#REF!</definedName>
    <definedName name="Rating_11">#REF!</definedName>
    <definedName name="Ratings">'[10]All Methodologies IRS'!$E$40:$E$46</definedName>
    <definedName name="RatingT1" localSheetId="1">#REF!</definedName>
    <definedName name="RatingT1">#REF!</definedName>
    <definedName name="RatingT2" localSheetId="1">#REF!</definedName>
    <definedName name="RatingT2">#REF!</definedName>
    <definedName name="RatingT3" localSheetId="1">#REF!</definedName>
    <definedName name="RatingT3">#REF!</definedName>
    <definedName name="RatingTable">#REF!</definedName>
    <definedName name="RBasis">#REF!</definedName>
    <definedName name="RBondStrike">#REF!</definedName>
    <definedName name="RCalibWeight">#REF!</definedName>
    <definedName name="RCost">'[10]All Methodologies IRS'!$F$16</definedName>
    <definedName name="Rec" localSheetId="1">[17]Spreadsheet7.4!$C$11</definedName>
    <definedName name="Rec">#REF!</definedName>
    <definedName name="Recovery" localSheetId="1">'[10]All Methodologies IRS'!$C$26</definedName>
    <definedName name="Recovery">#REF!</definedName>
    <definedName name="Recovery_Pricing" localSheetId="1">#REF!</definedName>
    <definedName name="Recovery_Pricing">#REF!</definedName>
    <definedName name="Recovery_Stripping" localSheetId="1">#REF!</definedName>
    <definedName name="Recovery_Stripping">#REF!</definedName>
    <definedName name="Recovery2" localSheetId="1">#REF!</definedName>
    <definedName name="Recovery2">#REF!</definedName>
    <definedName name="RecoveryPercent" localSheetId="1">[15]Merton!$C$24</definedName>
    <definedName name="RecoveryPercent">#REF!</definedName>
    <definedName name="RecoveryR">#REF!</definedName>
    <definedName name="RecoveryRange">#REF!</definedName>
    <definedName name="RecoveryRate">[2]BasketMC!$C$11</definedName>
    <definedName name="RecoveryRates">#REF!</definedName>
    <definedName name="recovrate" localSheetId="1">#REF!</definedName>
    <definedName name="recovrate">#REF!</definedName>
    <definedName name="RecovRate_11" localSheetId="1">#REF!</definedName>
    <definedName name="RecovRate_11">#REF!</definedName>
    <definedName name="RecPayCell" localSheetId="1">#REF!</definedName>
    <definedName name="RecPayCell">#REF!</definedName>
    <definedName name="RecRate">[16]IndexBasis!$I$7</definedName>
    <definedName name="Redemption" localSheetId="1">'[7]Bond Price with Excel'!$B$58</definedName>
    <definedName name="Redemption">'[8]Bond Price with Excel'!$B$58</definedName>
    <definedName name="ref_currency" localSheetId="1">#REF!</definedName>
    <definedName name="ref_currency">#REF!</definedName>
    <definedName name="RefDefProb">[3]CDSCntrptyRisk!$C$13</definedName>
    <definedName name="RefRate" localSheetId="1">#REF!</definedName>
    <definedName name="RefRate">#REF!</definedName>
    <definedName name="RefRateCell" localSheetId="1">#REF!</definedName>
    <definedName name="RefRateCell">#REF!</definedName>
    <definedName name="RefRateChoiceCell" localSheetId="1">#REF!</definedName>
    <definedName name="RefRateChoiceCell">#REF!</definedName>
    <definedName name="RefRec">#REF!</definedName>
    <definedName name="Region">#REF!</definedName>
    <definedName name="RegMaturity">'[10]All Methodologies IRS'!$C$31</definedName>
    <definedName name="repoCurve" localSheetId="1">#REF!</definedName>
    <definedName name="repoCurve">#REF!</definedName>
    <definedName name="ReqCorrMat" localSheetId="1">#REF!</definedName>
    <definedName name="ReqCorrMat">#REF!</definedName>
    <definedName name="RescaleEL" localSheetId="1">#REF!</definedName>
    <definedName name="RescaleEL">#REF!</definedName>
    <definedName name="RescaleRatio">#REF!</definedName>
    <definedName name="Reserve">#REF!</definedName>
    <definedName name="result_11">#REF!</definedName>
    <definedName name="Result1">[3]CVA!$J$6</definedName>
    <definedName name="Result2">[3]CVA!$K$6</definedName>
    <definedName name="Results" localSheetId="1">#REF!</definedName>
    <definedName name="Results">#REF!</definedName>
    <definedName name="RetPV" localSheetId="1">#REF!</definedName>
    <definedName name="RetPV">#REF!</definedName>
    <definedName name="RetPV2" localSheetId="1">#REF!</definedName>
    <definedName name="RetPV2">#REF!</definedName>
    <definedName name="Return">#REF!</definedName>
    <definedName name="RExerFrontierBounds" localSheetId="1">OFFSET([0]!ExerRatesBoundsTopCell,0,0,IRB!NumExercises,1)</definedName>
    <definedName name="RExerFrontierBounds">OFFSET([0]!ExerRatesBoundsTopCell,0,0,[0]!NumExercises,1)</definedName>
    <definedName name="RFwdVols" localSheetId="1">OFFSET([0]!FwdVolRangeTopCell,0,0,IRB!NumExercises,IRB!NumExercises)</definedName>
    <definedName name="RFwdVols">OFFSET([0]!FwdVolRangeTopCell,0,0,[0]!NumExercises,[0]!NumExercises)</definedName>
    <definedName name="Rho" localSheetId="1">'[10]All Methodologies IRS'!$C$29</definedName>
    <definedName name="rho">#REF!</definedName>
    <definedName name="Rhos" localSheetId="1">#REF!</definedName>
    <definedName name="Rhos">#REF!</definedName>
    <definedName name="RhoTerm" localSheetId="1">#REF!</definedName>
    <definedName name="RhoTerm">#REF!</definedName>
    <definedName name="RISKY_MARKET" localSheetId="1">#REF!</definedName>
    <definedName name="RISKY_MARKET">#REF!</definedName>
    <definedName name="RiskyAnnuity">[2]SimpleSpreadCDSPricer!$C$19</definedName>
    <definedName name="RiskyInsDef" localSheetId="1">#REF!</definedName>
    <definedName name="RiskyInsDef">#REF!</definedName>
    <definedName name="RiskyInsParRate" localSheetId="1">#REF!</definedName>
    <definedName name="RiskyInsParRate">#REF!</definedName>
    <definedName name="RiskyInsPrem">#REF!</definedName>
    <definedName name="RiskyInsPV">#REF!</definedName>
    <definedName name="RiskyLevel">#REF!</definedName>
    <definedName name="RiskyLevels">#REF!</definedName>
    <definedName name="RiskyMarket">#REF!</definedName>
    <definedName name="RL">#REF!</definedName>
    <definedName name="RLBaseTranche1">#REF!</definedName>
    <definedName name="RLBaseTranche2">#REF!</definedName>
    <definedName name="RLevel">[16]BlackModel!$D$10</definedName>
    <definedName name="RLevel2" localSheetId="1">#REF!</definedName>
    <definedName name="RLevel2">#REF!</definedName>
    <definedName name="Rounding">[3]CollateralMarginCall!$C$11</definedName>
    <definedName name="Rounding_A">#REF!</definedName>
    <definedName name="Rounding_B">#REF!</definedName>
    <definedName name="Rounding2" localSheetId="1">[4]CollateralCalculation!$D$17</definedName>
    <definedName name="Rounding2">#REF!</definedName>
    <definedName name="RW_BACVA">'[10]All Methodologies IRS'!$F$22</definedName>
    <definedName name="S_Dur">'[10]All Methodologies IRS'!$F$13</definedName>
    <definedName name="sA" localSheetId="1">[7]MeanVariance!$O$17</definedName>
    <definedName name="sA">[8]MeanVariance!$O$17</definedName>
    <definedName name="SACVAMultiplier">'[10]All Methodologies IRS'!$L$20</definedName>
    <definedName name="sB" localSheetId="1">[7]MeanVariance!$O$18</definedName>
    <definedName name="sB">[8]MeanVariance!$O$18</definedName>
    <definedName name="sC" localSheetId="1">[7]MeanVariance!$O$19</definedName>
    <definedName name="sC">[8]MeanVariance!$O$19</definedName>
    <definedName name="ScenarioOutput" localSheetId="1">#REF!</definedName>
    <definedName name="ScenarioOutput">#REF!</definedName>
    <definedName name="Scenarios" localSheetId="1">#REF!</definedName>
    <definedName name="Scenarios">#REF!</definedName>
    <definedName name="sD" localSheetId="1">[7]MeanVariance!$O$20</definedName>
    <definedName name="sD">[8]MeanVariance!$O$20</definedName>
    <definedName name="secondcurrency" localSheetId="1">#REF!</definedName>
    <definedName name="secondcurrency">#REF!</definedName>
    <definedName name="Sector">'[10]All Methodologies IRS'!$C$20</definedName>
    <definedName name="SectorWeights">'[10]All Methodologies IRS'!$H$42:$N$49</definedName>
    <definedName name="Seed" localSheetId="1">[3]MonteCarlo!$C$9</definedName>
    <definedName name="Seed">#REF!</definedName>
    <definedName name="Seed2">[3]CollateralMarginCall!$G$8</definedName>
    <definedName name="SET_DATE" localSheetId="1">#REF!</definedName>
    <definedName name="SET_DATE">#REF!</definedName>
    <definedName name="SettleDate" localSheetId="1">'[7]Bond Price with Excel'!$B$14</definedName>
    <definedName name="SettleDate">'[8]Bond Price with Excel'!$B$14</definedName>
    <definedName name="SharesOutstanding" localSheetId="1">#REF!</definedName>
    <definedName name="SharesOutstanding">#REF!</definedName>
    <definedName name="ShiftAmount" localSheetId="1">#REF!</definedName>
    <definedName name="ShiftAmount">#REF!</definedName>
    <definedName name="ShowPath" localSheetId="1">[4]CollateralExposureSimulation!$E$21</definedName>
    <definedName name="ShowPath">#REF!</definedName>
    <definedName name="ShowPaths">[5]TreePricer!$C$11</definedName>
    <definedName name="Sigma" localSheetId="1">[17]Spreadsheet7.1!$C$12</definedName>
    <definedName name="Sigma">#REF!</definedName>
    <definedName name="sigma1" localSheetId="1">#REF!</definedName>
    <definedName name="sigma1">#REF!</definedName>
    <definedName name="sigma2" localSheetId="1">#REF!</definedName>
    <definedName name="sigma2">#REF!</definedName>
    <definedName name="Sigma3" localSheetId="1">#REF!</definedName>
    <definedName name="Sigma3">#REF!</definedName>
    <definedName name="SigmaPara">[19]PoissonSim!#REF!</definedName>
    <definedName name="SigmaParam">[19]PoissonSim!$D$5</definedName>
    <definedName name="SigmaVector" localSheetId="1">[7]MeanVariance!$E$3:$E$6</definedName>
    <definedName name="SigmaVector">[8]MeanVariance!$E$3:$E$6</definedName>
    <definedName name="SigmaVolume" localSheetId="1">[4]Liquidation!$D$14</definedName>
    <definedName name="SigmaVolume">#REF!</definedName>
    <definedName name="SimCount">#REF!</definedName>
    <definedName name="SimResults">#REF!</definedName>
    <definedName name="Sims" localSheetId="1">[14]MonteCarlo!$F$4</definedName>
    <definedName name="Sims">[13]MonteCarlo!$F$4</definedName>
    <definedName name="SimulationResults">[5]HedgingSimulation!$R$4</definedName>
    <definedName name="Simulations" localSheetId="1">#REF!</definedName>
    <definedName name="Simulations">#REF!</definedName>
    <definedName name="SizeCouponSchedule" localSheetId="1">#REF!</definedName>
    <definedName name="SizeCouponSchedule">#REF!</definedName>
    <definedName name="SOURCE" localSheetId="1">#REF!</definedName>
    <definedName name="SOURCE">#REF!</definedName>
    <definedName name="SourceCell">#REF!</definedName>
    <definedName name="SplinePointsa">#REF!</definedName>
    <definedName name="Spot" localSheetId="1">#REF!</definedName>
    <definedName name="Spot">[6]HedgingSimulation!$C$7</definedName>
    <definedName name="SpotFX">#REF!</definedName>
    <definedName name="SpotIR">#REF!</definedName>
    <definedName name="Spread" localSheetId="1">#REF!</definedName>
    <definedName name="Spread">#REF!</definedName>
    <definedName name="SpreadAgent" localSheetId="1">[9]CVA!#REF!</definedName>
    <definedName name="SpreadAgent">[9]CVA!#REF!</definedName>
    <definedName name="SpreadCntrpty" localSheetId="1">[3]CVA!#REF!</definedName>
    <definedName name="SpreadCntrpty">[3]CVA!#REF!</definedName>
    <definedName name="SpreadLowerTranche" localSheetId="1">#REF!</definedName>
    <definedName name="SpreadLowerTranche">#REF!</definedName>
    <definedName name="SpreadMulti" localSheetId="1">#REF!</definedName>
    <definedName name="SpreadMulti">#REF!</definedName>
    <definedName name="SpreadRef">[3]CDSCntrptyRisk!$C$7</definedName>
    <definedName name="SpreadScenario" localSheetId="1">#REF!</definedName>
    <definedName name="SpreadScenario">#REF!</definedName>
    <definedName name="SpreadSys" localSheetId="1">[9]CVA!#REF!</definedName>
    <definedName name="SpreadSys">[9]CVA!#REF!</definedName>
    <definedName name="SpreadUpperTranche" localSheetId="1">#REF!</definedName>
    <definedName name="SpreadUpperTranche">#REF!</definedName>
    <definedName name="SpreadVol">[17]Spreadsheet7.4!$C$13</definedName>
    <definedName name="SQrtTerm" localSheetId="1">#REF!</definedName>
    <definedName name="SQrtTerm">#REF!</definedName>
    <definedName name="Sstar" localSheetId="1">[15]CreditGrades!$C$6</definedName>
    <definedName name="Sstar">#REF!</definedName>
    <definedName name="start_date" localSheetId="1">#REF!</definedName>
    <definedName name="start_date">#REF!</definedName>
    <definedName name="StartCopyCell" localSheetId="1">#REF!</definedName>
    <definedName name="StartCopyCell">#REF!</definedName>
    <definedName name="StartCouponSchedule" localSheetId="1">#REF!</definedName>
    <definedName name="StartCouponSchedule">#REF!</definedName>
    <definedName name="StartDate">'[10]All Methodologies IRS'!$C$8</definedName>
    <definedName name="Starting_Point" localSheetId="1">#REF!</definedName>
    <definedName name="Starting_Point">#REF!</definedName>
    <definedName name="STBorrowings" localSheetId="1">#REF!</definedName>
    <definedName name="STBorrowings">#REF!</definedName>
    <definedName name="StdDev" localSheetId="1">#REF!</definedName>
    <definedName name="StdDev">#REF!</definedName>
    <definedName name="StdDevExposure">[3]Netting!$D$9</definedName>
    <definedName name="StdDevMtM">[25]Spreadsheet3.1!$C$11</definedName>
    <definedName name="StdExposures">[3]Portfolio!$F$8</definedName>
    <definedName name="StdPortfolioEffect">'[10]All Methodologies IRS'!#REF!</definedName>
    <definedName name="Steps" localSheetId="1">[14]MonteCarlo!$F$3</definedName>
    <definedName name="Steps">[13]MonteCarlo!$F$3</definedName>
    <definedName name="StepSize" localSheetId="1">#REF!</definedName>
    <definedName name="StepSize">#REF!</definedName>
    <definedName name="StepsPerHedge" localSheetId="1">#REF!</definedName>
    <definedName name="StepsPerHedge">#REF!</definedName>
    <definedName name="Stock">[6]OptionPricer!$C$7</definedName>
    <definedName name="StockData">[5]UnderlyingValueTree!$A$1</definedName>
    <definedName name="StockPrice" localSheetId="1">[4]Liquidation!$D$12</definedName>
    <definedName name="StockPrice">#REF!</definedName>
    <definedName name="StockVol">[5]CreditGrades!$C$9</definedName>
    <definedName name="Strike" localSheetId="1">#REF!</definedName>
    <definedName name="Strike">[6]OptionPricer!$C$8</definedName>
    <definedName name="StrikeMC" localSheetId="1">[14]MonteCarlo!$C$4</definedName>
    <definedName name="StrikeMC">[13]MonteCarlo!$C$4</definedName>
    <definedName name="SttDev" localSheetId="1">#REF!</definedName>
    <definedName name="SttDev">#REF!</definedName>
    <definedName name="Study_Period" localSheetId="1">#REF!</definedName>
    <definedName name="Study_Period">#REF!</definedName>
    <definedName name="SurvProb" localSheetId="1">[30]BlackModel!#REF!</definedName>
    <definedName name="SurvProb">[30]BlackModel!#REF!</definedName>
    <definedName name="SVol" localSheetId="1">[15]CreditGrades!$C$9</definedName>
    <definedName name="SVol">#REF!</definedName>
    <definedName name="SwapChoices" localSheetId="1">#REF!</definedName>
    <definedName name="SwapChoices">#REF!</definedName>
    <definedName name="SwapChoices3" localSheetId="1">#REF!</definedName>
    <definedName name="SwapChoices3">#REF!</definedName>
    <definedName name="SwapPayments" localSheetId="1">#REF!</definedName>
    <definedName name="SwapPayments">#REF!</definedName>
    <definedName name="SwapRate" localSheetId="1">'[10]All Methodologies IRS'!$C$10</definedName>
    <definedName name="SwapRate">[4]HedgingCVA!$K$4</definedName>
    <definedName name="SwapRateVol">#REF!</definedName>
    <definedName name="SwapType" localSheetId="1">#REF!</definedName>
    <definedName name="SwapType">#REF!</definedName>
    <definedName name="TargetReturn" localSheetId="1">[7]MeanVariance!$J$18</definedName>
    <definedName name="TargetReturn">[8]MeanVariance!$J$18</definedName>
    <definedName name="TargetSpread" localSheetId="1">#REF!</definedName>
    <definedName name="TargetSpread">#REF!</definedName>
    <definedName name="TargSpread" localSheetId="1">#REF!</definedName>
    <definedName name="TargSpread">#REF!</definedName>
    <definedName name="Tau" localSheetId="1">#REF!</definedName>
    <definedName name="Tau">#REF!</definedName>
    <definedName name="TENOR">#REF!</definedName>
    <definedName name="Tenors">#REF!</definedName>
    <definedName name="TenorToShift">#REF!</definedName>
    <definedName name="TenYearFactor">#REF!</definedName>
    <definedName name="term">#REF!</definedName>
    <definedName name="ThisMaturity">#REF!</definedName>
    <definedName name="Threshold" localSheetId="1">#REF!</definedName>
    <definedName name="Threshold">[3]CollateralMarginCall!$C$8</definedName>
    <definedName name="Threshold_A">#REF!</definedName>
    <definedName name="Threshold_B">#REF!</definedName>
    <definedName name="Threshold1" localSheetId="1">#REF!</definedName>
    <definedName name="Threshold1">#REF!</definedName>
    <definedName name="Threshold2">[3]CollateralMarginCall!$D$8</definedName>
    <definedName name="Threshold3" localSheetId="1">#REF!</definedName>
    <definedName name="Threshold3">#REF!</definedName>
    <definedName name="Threshold4" localSheetId="1">#REF!</definedName>
    <definedName name="Threshold4">#REF!</definedName>
    <definedName name="Threshold5" localSheetId="1">#REF!</definedName>
    <definedName name="Threshold5">#REF!</definedName>
    <definedName name="ThresholdInput">#REF!</definedName>
    <definedName name="Thresholds">[3]Portfolio!$D$8</definedName>
    <definedName name="Ticker" localSheetId="1">#REF!</definedName>
    <definedName name="Ticker">#REF!</definedName>
    <definedName name="tier_one_ratio" localSheetId="1">#REF!</definedName>
    <definedName name="tier_one_ratio">#REF!</definedName>
    <definedName name="Time" localSheetId="1">[4]SimpleWrongWay!$C$15</definedName>
    <definedName name="Time">#REF!</definedName>
    <definedName name="Time2" localSheetId="1">#REF!</definedName>
    <definedName name="Time2">#REF!</definedName>
    <definedName name="TimeHorizon" localSheetId="1">#REF!</definedName>
    <definedName name="TimeHorizon">#REF!</definedName>
    <definedName name="TimeIntPoints" localSheetId="1">#REF!</definedName>
    <definedName name="TimeIntPoints">#REF!</definedName>
    <definedName name="timestep">[6]HedgingSimulation!$G$9</definedName>
    <definedName name="tmat" localSheetId="1">#REF!</definedName>
    <definedName name="tmat">#REF!</definedName>
    <definedName name="tmat2" localSheetId="1">#REF!</definedName>
    <definedName name="tmat2">#REF!</definedName>
    <definedName name="tmat3" localSheetId="1">#REF!</definedName>
    <definedName name="tmat3">#REF!</definedName>
    <definedName name="tmat4">#REF!</definedName>
    <definedName name="TMTopLeft">#REF!</definedName>
    <definedName name="TODAY">#REF!</definedName>
    <definedName name="Total_Facilities">#REF!</definedName>
    <definedName name="TotalCommonEquity">#REF!</definedName>
    <definedName name="TotalExposure">[3]CollateralMarginCall!$C$12</definedName>
    <definedName name="TotalMargEPE">[3]EPEAllocation!$C$23</definedName>
    <definedName name="TotalNot" localSheetId="1">#REF!</definedName>
    <definedName name="TotalNot">#REF!</definedName>
    <definedName name="TotalNotional">#REF!</definedName>
    <definedName name="TotalPnL">[5]HedgingSimulation!$L$10</definedName>
    <definedName name="TotalPV" localSheetId="1">#REF!</definedName>
    <definedName name="TotalPV">#REF!</definedName>
    <definedName name="TotalRequiredCollateralisation2" localSheetId="1">[4]CollateralCalculation!$D$19</definedName>
    <definedName name="TotalRequiredCollateralisation2">#REF!</definedName>
    <definedName name="TotalRequiredCollaterlisation" localSheetId="1">[4]CollateralCalculation!$C$19</definedName>
    <definedName name="TotalRequiredCollaterlisation">#REF!</definedName>
    <definedName name="TotalSpdIncome">#REF!</definedName>
    <definedName name="TotIssCurveRange" localSheetId="1">#REF!</definedName>
    <definedName name="TotIssCurveRange">#REF!</definedName>
    <definedName name="TotZeroCurveRange" localSheetId="1">#REF!</definedName>
    <definedName name="TotZeroCurveRange">#REF!</definedName>
    <definedName name="TradeFX">#REF!</definedName>
    <definedName name="TrancheDefLeg">#REF!</definedName>
    <definedName name="TrancheEL">#REF!</definedName>
    <definedName name="TrancheNot">#REF!</definedName>
    <definedName name="TrancheNotional">#REF!</definedName>
    <definedName name="TranchePremiums">#REF!</definedName>
    <definedName name="TranchePremLeg">#REF!</definedName>
    <definedName name="TrancheRL">#REF!</definedName>
    <definedName name="transaction_notional_Amont">#REF!</definedName>
    <definedName name="Transition_Matrix">#REF!</definedName>
    <definedName name="TreeStep">#REF!</definedName>
    <definedName name="type">#REF!</definedName>
    <definedName name="typeasset">#REF!</definedName>
    <definedName name="TypeChoices">#REF!</definedName>
    <definedName name="typeIndex">#REF!</definedName>
    <definedName name="Typeofswap">#REF!</definedName>
    <definedName name="U1CMT">#REF!</definedName>
    <definedName name="Uncertainty_of_Barrier">#REF!</definedName>
    <definedName name="UnitVector" localSheetId="1">[7]MeanVariance!$L$3:$L$6</definedName>
    <definedName name="UnitVector">[8]MeanVariance!$L$3:$L$6</definedName>
    <definedName name="Unwind" localSheetId="1">#REF!</definedName>
    <definedName name="Unwind">#REF!</definedName>
    <definedName name="UnwindCost" localSheetId="1">#REF!</definedName>
    <definedName name="UnwindCost">#REF!</definedName>
    <definedName name="Upper" localSheetId="1">[11]SimpleIntegration!$C$3</definedName>
    <definedName name="Upper">[12]SimpleIntegration!$C$3</definedName>
    <definedName name="UpperBaseTrancheAttach" localSheetId="1">#REF!</definedName>
    <definedName name="UpperBaseTrancheAttach">#REF!</definedName>
    <definedName name="UpperTrancheEURCorrel" localSheetId="1">#REF!</definedName>
    <definedName name="UpperTrancheEURCorrel">#REF!</definedName>
    <definedName name="UpperTrancheUSCorrel" localSheetId="1">#REF!</definedName>
    <definedName name="UpperTrancheUSCorrel">#REF!</definedName>
    <definedName name="UseApprox">#REF!</definedName>
    <definedName name="UseCouponSchedule">#REF!</definedName>
    <definedName name="UseMigrationLoss">#REF!</definedName>
    <definedName name="USExpLoss">#REF!</definedName>
    <definedName name="Val1A">[9]CVA!#REF!</definedName>
    <definedName name="Val2A">[3]CVA!$I$4</definedName>
    <definedName name="Val3A">[3]CVA!$I$5</definedName>
    <definedName name="ValueDate" localSheetId="1">#REF!</definedName>
    <definedName name="ValueDate">#REF!</definedName>
    <definedName name="VaR" localSheetId="1">#REF!</definedName>
    <definedName name="VaR">#REF!</definedName>
    <definedName name="Variables" localSheetId="1">#REF!</definedName>
    <definedName name="Variables">#REF!</definedName>
    <definedName name="Variance">#REF!</definedName>
    <definedName name="VarianceBarrier">#REF!</definedName>
    <definedName name="vnot" localSheetId="1">'[28]Class Problems'!$G$39</definedName>
    <definedName name="vnot">'[29]Class Problems'!$G$39</definedName>
    <definedName name="Vol" localSheetId="1">#REF!</definedName>
    <definedName name="Vol">[18]OptionPricer!#REF!</definedName>
    <definedName name="Volatilities" localSheetId="1">#REF!</definedName>
    <definedName name="Volatilities">#REF!</definedName>
    <definedName name="Volatility" localSheetId="1">[4]LiquidationTimescale!$D$13</definedName>
    <definedName name="Volatility">#REF!</definedName>
    <definedName name="VolatilityOfPosition" localSheetId="1">[4]LiquidationTimescale!$D$24</definedName>
    <definedName name="VolatilityOfPosition">#REF!</definedName>
    <definedName name="VolCollateral" localSheetId="1">[4]CollateralandCorrelation!$C$13</definedName>
    <definedName name="VolCollateral">#REF!</definedName>
    <definedName name="volCurve" localSheetId="1">#REF!</definedName>
    <definedName name="volCurve">#REF!</definedName>
    <definedName name="volCurve2" localSheetId="1">#REF!</definedName>
    <definedName name="volCurve2">#REF!</definedName>
    <definedName name="VolExposure" localSheetId="1">[4]CollateralandCorrelation!$C$12</definedName>
    <definedName name="VolExposure">#REF!</definedName>
    <definedName name="VolMC" localSheetId="1">[14]MonteCarlo!$C$7</definedName>
    <definedName name="VolMC">[13]MonteCarlo!$C$7</definedName>
    <definedName name="VolSqrtDt" localSheetId="1">[14]MonteCarlo!$F$7</definedName>
    <definedName name="VolSqrtDt">[13]MonteCarlo!$F$7</definedName>
    <definedName name="Volume" localSheetId="1">[4]Liquidation!#REF!</definedName>
    <definedName name="Volume">#REF!</definedName>
    <definedName name="VolumeToLiquidate" localSheetId="1">[4]Liquidation!$D$13</definedName>
    <definedName name="VolumeToLiquidate">#REF!</definedName>
    <definedName name="WADP" localSheetId="1">#REF!</definedName>
    <definedName name="WADP">#REF!</definedName>
    <definedName name="WeBuyFrom" localSheetId="1">#REF!</definedName>
    <definedName name="WeBuyFrom">#REF!</definedName>
    <definedName name="Weight">'[10]All Methodologies IRS'!$C$22</definedName>
    <definedName name="WeightEUR" localSheetId="1">#REF!</definedName>
    <definedName name="WeightEUR">#REF!</definedName>
    <definedName name="Weights" localSheetId="1">#REF!</definedName>
    <definedName name="Weights">#REF!</definedName>
    <definedName name="WeightVector" localSheetId="1">[7]MeanVariance!$C$3:$C$6</definedName>
    <definedName name="WeightVector">[8]MeanVariance!$C$3:$C$6</definedName>
    <definedName name="WeightVector1" localSheetId="1">[7]MeanVariance!$G$18:$G$21</definedName>
    <definedName name="WeightVector1">[8]MeanVariance!$G$18:$G$21</definedName>
    <definedName name="WeightVector2" localSheetId="1">[7]MeanVariance!$K$18:$K$21</definedName>
    <definedName name="WeightVector2">[8]MeanVariance!$K$18:$K$21</definedName>
    <definedName name="WestMarket" localSheetId="1">#REF!</definedName>
    <definedName name="WestMarket">#REF!</definedName>
    <definedName name="Workbook" localSheetId="1">#REF!</definedName>
    <definedName name="Workbook">#REF!</definedName>
    <definedName name="Worksheet_List" localSheetId="1">#REF!</definedName>
    <definedName name="Worksheet_List">#REF!</definedName>
    <definedName name="X2OverS">[6]OptionPricer!$C$21</definedName>
    <definedName name="xx" localSheetId="1">#REF!</definedName>
    <definedName name="xx">#REF!</definedName>
    <definedName name="YearToMaturity" localSheetId="1">'[7]Bond Price with Excel'!$B$18</definedName>
    <definedName name="YearToMaturity">'[8]Bond Price with Excel'!$B$18</definedName>
    <definedName name="Yield" localSheetId="1">'[7]Bond Price with Excel'!$B$13</definedName>
    <definedName name="Yield">'[8]Bond Price with Excel'!$B$13</definedName>
    <definedName name="YieldCurveId" localSheetId="1">#REF!</definedName>
    <definedName name="YieldCurveId">#REF!</definedName>
    <definedName name="YieldCurveName" localSheetId="1">#REF!</definedName>
    <definedName name="YieldCurveName">#REF!</definedName>
    <definedName name="zeroCurve" localSheetId="1">#REF!</definedName>
    <definedName name="zeroCurve">#REF!</definedName>
    <definedName name="ZeroCurveRange" localSheetId="1">OFFSET(#REF!,1,0,#REF!,1)</definedName>
    <definedName name="ZeroCurveRange">OFFSET(#REF!,1,0,#REF!,1)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1" l="1"/>
  <c r="C6" i="21" s="1"/>
  <c r="A5" i="17" l="1"/>
  <c r="A4" i="17"/>
  <c r="D106" i="17" l="1"/>
  <c r="D35" i="17"/>
  <c r="D75" i="17"/>
  <c r="D12" i="17"/>
  <c r="D36" i="17"/>
  <c r="D44" i="17"/>
  <c r="D52" i="17"/>
  <c r="D60" i="17"/>
  <c r="D68" i="17"/>
  <c r="D76" i="17"/>
  <c r="D84" i="17"/>
  <c r="D92" i="17"/>
  <c r="D100" i="17"/>
  <c r="D45" i="17"/>
  <c r="D85" i="17"/>
  <c r="D101" i="17"/>
  <c r="D27" i="17"/>
  <c r="D67" i="17"/>
  <c r="D20" i="17"/>
  <c r="D53" i="17"/>
  <c r="D22" i="17"/>
  <c r="D102" i="17"/>
  <c r="D37" i="17"/>
  <c r="D77" i="17"/>
  <c r="D30" i="17"/>
  <c r="D62" i="17"/>
  <c r="D94" i="17"/>
  <c r="D7" i="17"/>
  <c r="D15" i="17"/>
  <c r="D23" i="17"/>
  <c r="D31" i="17"/>
  <c r="D39" i="17"/>
  <c r="D47" i="17"/>
  <c r="D55" i="17"/>
  <c r="D63" i="17"/>
  <c r="D71" i="17"/>
  <c r="D79" i="17"/>
  <c r="D87" i="17"/>
  <c r="D95" i="17"/>
  <c r="D103" i="17"/>
  <c r="D19" i="17"/>
  <c r="D59" i="17"/>
  <c r="D99" i="17"/>
  <c r="D29" i="17"/>
  <c r="D69" i="17"/>
  <c r="D14" i="17"/>
  <c r="D54" i="17"/>
  <c r="D86" i="17"/>
  <c r="D8" i="17"/>
  <c r="D16" i="17"/>
  <c r="D24" i="17"/>
  <c r="D32" i="17"/>
  <c r="D40" i="17"/>
  <c r="D48" i="17"/>
  <c r="D56" i="17"/>
  <c r="D64" i="17"/>
  <c r="D72" i="17"/>
  <c r="D80" i="17"/>
  <c r="D88" i="17"/>
  <c r="D96" i="17"/>
  <c r="D104" i="17"/>
  <c r="D51" i="17"/>
  <c r="D91" i="17"/>
  <c r="D21" i="17"/>
  <c r="D93" i="17"/>
  <c r="D46" i="17"/>
  <c r="D70" i="17"/>
  <c r="D9" i="17"/>
  <c r="D17" i="17"/>
  <c r="D25" i="17"/>
  <c r="D33" i="17"/>
  <c r="D41" i="17"/>
  <c r="D49" i="17"/>
  <c r="D57" i="17"/>
  <c r="D65" i="17"/>
  <c r="D73" i="17"/>
  <c r="D81" i="17"/>
  <c r="D89" i="17"/>
  <c r="D97" i="17"/>
  <c r="D105" i="17"/>
  <c r="D11" i="17"/>
  <c r="D43" i="17"/>
  <c r="D83" i="17"/>
  <c r="D28" i="17"/>
  <c r="D13" i="17"/>
  <c r="D61" i="17"/>
  <c r="D6" i="17"/>
  <c r="D38" i="17"/>
  <c r="D78" i="17"/>
  <c r="D10" i="17"/>
  <c r="D18" i="17"/>
  <c r="D26" i="17"/>
  <c r="D34" i="17"/>
  <c r="D42" i="17"/>
  <c r="D50" i="17"/>
  <c r="D58" i="17"/>
  <c r="D66" i="17"/>
  <c r="D74" i="17"/>
  <c r="D82" i="17"/>
  <c r="D90" i="17"/>
  <c r="D98" i="17"/>
  <c r="C5" i="21"/>
  <c r="C8" i="21" s="1"/>
  <c r="C11" i="21" s="1"/>
  <c r="C6" i="17"/>
  <c r="B7" i="17"/>
  <c r="B8" i="17"/>
  <c r="B9" i="17" s="1"/>
  <c r="C7" i="17"/>
  <c r="C8" i="17"/>
  <c r="B10" i="17" l="1"/>
  <c r="C9" i="17"/>
  <c r="B11" i="17" l="1"/>
  <c r="C10" i="17"/>
  <c r="B12" i="17" l="1"/>
  <c r="C11" i="17"/>
  <c r="B13" i="17" l="1"/>
  <c r="C12" i="17"/>
  <c r="C13" i="17" l="1"/>
  <c r="B14" i="17"/>
  <c r="B15" i="17" l="1"/>
  <c r="C14" i="17"/>
  <c r="B16" i="17" l="1"/>
  <c r="C15" i="17"/>
  <c r="C16" i="17" l="1"/>
  <c r="B17" i="17"/>
  <c r="C17" i="17" l="1"/>
  <c r="B18" i="17"/>
  <c r="B19" i="17" l="1"/>
  <c r="C18" i="17"/>
  <c r="B20" i="17" l="1"/>
  <c r="C19" i="17"/>
  <c r="B21" i="17" l="1"/>
  <c r="C20" i="17"/>
  <c r="B22" i="17" l="1"/>
  <c r="C21" i="17"/>
  <c r="C22" i="17" l="1"/>
  <c r="B23" i="17"/>
  <c r="C23" i="17" l="1"/>
  <c r="B24" i="17"/>
  <c r="B25" i="17" l="1"/>
  <c r="C24" i="17"/>
  <c r="C25" i="17" l="1"/>
  <c r="B26" i="17"/>
  <c r="B27" i="17" l="1"/>
  <c r="C26" i="17"/>
  <c r="B28" i="17" l="1"/>
  <c r="C27" i="17"/>
  <c r="B29" i="17" l="1"/>
  <c r="C28" i="17"/>
  <c r="B30" i="17" l="1"/>
  <c r="C29" i="17"/>
  <c r="C30" i="17" l="1"/>
  <c r="B31" i="17"/>
  <c r="B32" i="17" l="1"/>
  <c r="C31" i="17"/>
  <c r="B33" i="17" l="1"/>
  <c r="C32" i="17"/>
  <c r="B34" i="17" l="1"/>
  <c r="C33" i="17"/>
  <c r="B35" i="17" l="1"/>
  <c r="C34" i="17"/>
  <c r="B36" i="17" l="1"/>
  <c r="C35" i="17"/>
  <c r="C36" i="17" l="1"/>
  <c r="B37" i="17"/>
  <c r="B38" i="17" l="1"/>
  <c r="C37" i="17"/>
  <c r="B39" i="17" l="1"/>
  <c r="C38" i="17"/>
  <c r="B40" i="17" l="1"/>
  <c r="C39" i="17"/>
  <c r="C40" i="17" l="1"/>
  <c r="B41" i="17"/>
  <c r="B42" i="17" l="1"/>
  <c r="C41" i="17"/>
  <c r="B43" i="17" l="1"/>
  <c r="C42" i="17"/>
  <c r="B44" i="17" l="1"/>
  <c r="C43" i="17"/>
  <c r="C44" i="17" l="1"/>
  <c r="B45" i="17"/>
  <c r="B46" i="17" l="1"/>
  <c r="C45" i="17"/>
  <c r="B47" i="17" l="1"/>
  <c r="C46" i="17"/>
  <c r="B48" i="17" l="1"/>
  <c r="C47" i="17"/>
  <c r="C48" i="17" l="1"/>
  <c r="B49" i="17"/>
  <c r="B50" i="17" l="1"/>
  <c r="C49" i="17"/>
  <c r="B51" i="17" l="1"/>
  <c r="C50" i="17"/>
  <c r="B52" i="17" l="1"/>
  <c r="C51" i="17"/>
  <c r="C52" i="17" l="1"/>
  <c r="B53" i="17"/>
  <c r="B54" i="17" l="1"/>
  <c r="C53" i="17"/>
  <c r="B55" i="17" l="1"/>
  <c r="C54" i="17"/>
  <c r="B56" i="17" l="1"/>
  <c r="C55" i="17"/>
  <c r="C56" i="17" l="1"/>
  <c r="B57" i="17"/>
  <c r="B58" i="17" l="1"/>
  <c r="C57" i="17"/>
  <c r="B59" i="17" l="1"/>
  <c r="C58" i="17"/>
  <c r="B60" i="17" l="1"/>
  <c r="C59" i="17"/>
  <c r="C60" i="17" l="1"/>
  <c r="B61" i="17"/>
  <c r="B62" i="17" l="1"/>
  <c r="C61" i="17"/>
  <c r="B63" i="17" l="1"/>
  <c r="C62" i="17"/>
  <c r="B64" i="17" l="1"/>
  <c r="C63" i="17"/>
  <c r="B65" i="17" l="1"/>
  <c r="C64" i="17"/>
  <c r="B66" i="17" l="1"/>
  <c r="C65" i="17"/>
  <c r="B67" i="17" l="1"/>
  <c r="C66" i="17"/>
  <c r="B68" i="17" l="1"/>
  <c r="C67" i="17"/>
  <c r="C68" i="17" l="1"/>
  <c r="B69" i="17"/>
  <c r="B70" i="17" l="1"/>
  <c r="C69" i="17"/>
  <c r="B71" i="17" l="1"/>
  <c r="C70" i="17"/>
  <c r="B72" i="17" l="1"/>
  <c r="C71" i="17"/>
  <c r="B73" i="17" l="1"/>
  <c r="C72" i="17"/>
  <c r="B74" i="17" l="1"/>
  <c r="C73" i="17"/>
  <c r="B75" i="17" l="1"/>
  <c r="C74" i="17"/>
  <c r="B76" i="17" l="1"/>
  <c r="C75" i="17"/>
  <c r="C76" i="17" l="1"/>
  <c r="B77" i="17"/>
  <c r="B78" i="17" l="1"/>
  <c r="C77" i="17"/>
  <c r="B79" i="17" l="1"/>
  <c r="C78" i="17"/>
  <c r="B80" i="17" l="1"/>
  <c r="C79" i="17"/>
  <c r="B81" i="17" l="1"/>
  <c r="C80" i="17"/>
  <c r="B82" i="17" l="1"/>
  <c r="C81" i="17"/>
  <c r="B83" i="17" l="1"/>
  <c r="C82" i="17"/>
  <c r="B84" i="17" l="1"/>
  <c r="C83" i="17"/>
  <c r="C84" i="17" l="1"/>
  <c r="B85" i="17"/>
  <c r="B86" i="17" l="1"/>
  <c r="C85" i="17"/>
  <c r="B87" i="17" l="1"/>
  <c r="C86" i="17"/>
  <c r="B88" i="17" l="1"/>
  <c r="C87" i="17"/>
  <c r="B89" i="17" l="1"/>
  <c r="C88" i="17"/>
  <c r="B90" i="17" l="1"/>
  <c r="C89" i="17"/>
  <c r="B91" i="17" l="1"/>
  <c r="C90" i="17"/>
  <c r="B92" i="17" l="1"/>
  <c r="C91" i="17"/>
  <c r="C92" i="17" l="1"/>
  <c r="B93" i="17"/>
  <c r="B94" i="17" l="1"/>
  <c r="C93" i="17"/>
  <c r="B95" i="17" l="1"/>
  <c r="C94" i="17"/>
  <c r="B96" i="17" l="1"/>
  <c r="C95" i="17"/>
  <c r="C96" i="17" l="1"/>
  <c r="B97" i="17"/>
  <c r="B98" i="17" l="1"/>
  <c r="C97" i="17"/>
  <c r="B99" i="17" l="1"/>
  <c r="C98" i="17"/>
  <c r="B100" i="17" l="1"/>
  <c r="C99" i="17"/>
  <c r="C100" i="17" l="1"/>
  <c r="B101" i="17"/>
  <c r="C101" i="17" l="1"/>
  <c r="B102" i="17"/>
  <c r="B103" i="17" l="1"/>
  <c r="C102" i="17"/>
  <c r="B104" i="17" l="1"/>
  <c r="C103" i="17"/>
  <c r="C104" i="17" l="1"/>
  <c r="B105" i="17"/>
  <c r="B106" i="17" l="1"/>
  <c r="C105" i="17"/>
  <c r="C106" i="17" l="1"/>
  <c r="F2" i="17"/>
  <c r="F3" i="17" l="1"/>
  <c r="F5" i="17"/>
  <c r="F4" i="17"/>
  <c r="G3" i="17" l="1"/>
  <c r="G4" i="17"/>
  <c r="G5" i="17"/>
</calcChain>
</file>

<file path=xl/sharedStrings.xml><?xml version="1.0" encoding="utf-8"?>
<sst xmlns="http://schemas.openxmlformats.org/spreadsheetml/2006/main" count="17" uniqueCount="17">
  <si>
    <t>Def Prob</t>
  </si>
  <si>
    <t>PD</t>
  </si>
  <si>
    <t>Expected Loss</t>
  </si>
  <si>
    <t>Num Loans</t>
  </si>
  <si>
    <t>Prob losing four times EL</t>
  </si>
  <si>
    <t>Prob losing two times EL</t>
  </si>
  <si>
    <t>Prob losing six times EL</t>
  </si>
  <si>
    <t>Maturity</t>
  </si>
  <si>
    <t>Rho</t>
  </si>
  <si>
    <t>b</t>
  </si>
  <si>
    <t>PD99.9</t>
  </si>
  <si>
    <t>MA</t>
  </si>
  <si>
    <t>LGD</t>
  </si>
  <si>
    <t>Actual</t>
  </si>
  <si>
    <t>Normal</t>
  </si>
  <si>
    <t>Capital</t>
  </si>
  <si>
    <t>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</si>
</sst>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%"/>
    <numFmt numFmtId="165" formatCode="0.0000"/>
    <numFmt numFmtId="166" formatCode="0.0000%"/>
    <numFmt numFmtId="167" formatCode="0.000000%"/>
    <numFmt numFmtId="168" formatCode="#,##0.0;\-#,##0.0"/>
    <numFmt numFmtId="169" formatCode="_-* #,##0\ _F_-;\-* #,##0\ _F_-;_-* &quot;-&quot;\ _F_-;_-@_-"/>
    <numFmt numFmtId="170" formatCode="_-* #,##0.00\ _F_-;\-* #,##0.00\ _F_-;_-* &quot;-&quot;??\ _F_-;_-@_-"/>
    <numFmt numFmtId="171" formatCode="_-* #,##0\ &quot;F&quot;_-;\-* #,##0\ &quot;F&quot;_-;_-* &quot;-&quot;\ &quot;F&quot;_-;_-@_-"/>
    <numFmt numFmtId="172" formatCode="_-* #,##0.00\ &quot;F&quot;_-;\-* #,##0.00\ &quot;F&quot;_-;_-* &quot;-&quot;??\ &quot;F&quot;_-;_-@_-"/>
    <numFmt numFmtId="173" formatCode="0.00000000000000%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4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3" fontId="4" fillId="0" borderId="0" applyFont="0" applyFill="0" applyBorder="0" applyAlignment="0" applyProtection="0"/>
    <xf numFmtId="0" fontId="10" fillId="22" borderId="3" applyNumberFormat="0" applyFont="0" applyBorder="0" applyAlignment="0" applyProtection="0">
      <alignment horizontal="centerContinuous"/>
    </xf>
    <xf numFmtId="0" fontId="11" fillId="23" borderId="4" applyNumberFormat="0" applyBorder="0">
      <alignment horizontal="left"/>
    </xf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24" borderId="5" applyNumberFormat="0" applyFont="0" applyBorder="0" applyAlignment="0">
      <alignment horizontal="centerContinuous"/>
    </xf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9" applyNumberFormat="0" applyFill="0" applyAlignment="0" applyProtection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>
      <alignment horizontal="right"/>
    </xf>
    <xf numFmtId="0" fontId="20" fillId="25" borderId="0" applyNumberFormat="0" applyBorder="0" applyAlignment="0" applyProtection="0"/>
    <xf numFmtId="0" fontId="4" fillId="0" borderId="0"/>
    <xf numFmtId="0" fontId="5" fillId="26" borderId="10" applyNumberFormat="0" applyFont="0" applyAlignment="0" applyProtection="0"/>
    <xf numFmtId="0" fontId="21" fillId="20" borderId="11" applyNumberFormat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27" borderId="12">
      <alignment horizontal="center"/>
    </xf>
    <xf numFmtId="0" fontId="2" fillId="0" borderId="0">
      <alignment horizontal="left" wrapText="1"/>
    </xf>
    <xf numFmtId="0" fontId="22" fillId="0" borderId="0">
      <alignment horizontal="center"/>
    </xf>
    <xf numFmtId="0" fontId="23" fillId="0" borderId="0" applyNumberFormat="0" applyFill="0" applyBorder="0" applyAlignment="0" applyProtection="0"/>
    <xf numFmtId="0" fontId="24" fillId="0" borderId="13" applyNumberFormat="0" applyFill="0" applyAlignment="0" applyProtection="0"/>
    <xf numFmtId="0" fontId="25" fillId="0" borderId="0" applyNumberFormat="0" applyFill="0" applyBorder="0" applyAlignment="0" applyProtection="0"/>
    <xf numFmtId="0" fontId="26" fillId="28" borderId="0">
      <alignment horizontal="right"/>
    </xf>
    <xf numFmtId="168" fontId="2" fillId="0" borderId="0">
      <alignment horizontal="center"/>
    </xf>
    <xf numFmtId="0" fontId="1" fillId="0" borderId="0"/>
    <xf numFmtId="9" fontId="1" fillId="0" borderId="0" applyFont="0" applyFill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6">
    <xf numFmtId="0" fontId="0" fillId="0" borderId="0" xfId="0"/>
    <xf numFmtId="10" fontId="0" fillId="0" borderId="0" xfId="49" applyNumberFormat="1" applyFont="1"/>
    <xf numFmtId="0" fontId="2" fillId="0" borderId="0" xfId="0" applyFont="1"/>
    <xf numFmtId="10" fontId="0" fillId="0" borderId="0" xfId="0" applyNumberFormat="1"/>
    <xf numFmtId="166" fontId="0" fillId="0" borderId="0" xfId="49" applyNumberFormat="1" applyFont="1"/>
    <xf numFmtId="164" fontId="0" fillId="0" borderId="0" xfId="0" applyNumberFormat="1"/>
    <xf numFmtId="0" fontId="27" fillId="0" borderId="0" xfId="59" applyFont="1"/>
    <xf numFmtId="10" fontId="27" fillId="0" borderId="0" xfId="59" applyNumberFormat="1" applyFont="1"/>
    <xf numFmtId="0" fontId="1" fillId="0" borderId="0" xfId="59"/>
    <xf numFmtId="10" fontId="27" fillId="0" borderId="0" xfId="60" applyNumberFormat="1" applyFont="1"/>
    <xf numFmtId="173" fontId="1" fillId="0" borderId="0" xfId="59" applyNumberFormat="1"/>
    <xf numFmtId="2" fontId="27" fillId="0" borderId="0" xfId="59" applyNumberFormat="1" applyFont="1"/>
    <xf numFmtId="9" fontId="27" fillId="0" borderId="0" xfId="59" applyNumberFormat="1" applyFont="1"/>
    <xf numFmtId="165" fontId="27" fillId="0" borderId="0" xfId="59" applyNumberFormat="1" applyFont="1"/>
    <xf numFmtId="43" fontId="0" fillId="0" borderId="0" xfId="63" applyNumberFormat="1" applyFont="1"/>
    <xf numFmtId="0" fontId="0" fillId="0" borderId="0" xfId="63" applyNumberFormat="1" applyFont="1"/>
  </cellXfs>
  <cellStyles count="6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63" builtinId="3"/>
    <cellStyle name="Comma 2" xfId="28" xr:uid="{00000000-0005-0000-0000-00001C000000}"/>
    <cellStyle name="Data" xfId="29" xr:uid="{00000000-0005-0000-0000-00001D000000}"/>
    <cellStyle name="DataInput" xfId="30" xr:uid="{00000000-0005-0000-0000-00001E000000}"/>
    <cellStyle name="Explanatory Text" xfId="31" builtinId="53" customBuiltin="1"/>
    <cellStyle name="Good" xfId="32" builtinId="26" customBuiltin="1"/>
    <cellStyle name="Header" xfId="33" xr:uid="{00000000-0005-0000-0000-000021000000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 xr:uid="{00000000-0005-0000-0000-000028000000}"/>
    <cellStyle name="Milliers_rating factor" xfId="41" xr:uid="{00000000-0005-0000-0000-000029000000}"/>
    <cellStyle name="Monétaire [0]_rating factor" xfId="42" xr:uid="{00000000-0005-0000-0000-00002A000000}"/>
    <cellStyle name="Monétaire_rating factor" xfId="43" xr:uid="{00000000-0005-0000-0000-00002B000000}"/>
    <cellStyle name="Month" xfId="44" xr:uid="{00000000-0005-0000-0000-00002C000000}"/>
    <cellStyle name="Neutral" xfId="45" builtinId="28" customBuiltin="1"/>
    <cellStyle name="Normal" xfId="0" builtinId="0"/>
    <cellStyle name="Normal 2" xfId="46" xr:uid="{00000000-0005-0000-0000-00002F000000}"/>
    <cellStyle name="Normal 3" xfId="59" xr:uid="{6C1D9678-5436-449D-9029-C0F36EDAF10B}"/>
    <cellStyle name="Normal 4" xfId="61" xr:uid="{425E0DC7-63A4-41B4-B968-6ED1F40D4A35}"/>
    <cellStyle name="Note" xfId="47" builtinId="10" customBuiltin="1"/>
    <cellStyle name="Output" xfId="48" builtinId="21" customBuiltin="1"/>
    <cellStyle name="Percent" xfId="49" builtinId="5"/>
    <cellStyle name="Percent 2" xfId="50" xr:uid="{00000000-0005-0000-0000-000033000000}"/>
    <cellStyle name="Percent 3" xfId="60" xr:uid="{97157BAE-DC6C-487B-AC84-5A090D415412}"/>
    <cellStyle name="Percent 4" xfId="62" xr:uid="{66B3E85F-CFA6-4517-B457-F9FFAB9411AB}"/>
    <cellStyle name="PricingProducts" xfId="51" xr:uid="{00000000-0005-0000-0000-000034000000}"/>
    <cellStyle name="Style 1" xfId="52" xr:uid="{00000000-0005-0000-0000-000035000000}"/>
    <cellStyle name="TIMES" xfId="53" xr:uid="{00000000-0005-0000-0000-000036000000}"/>
    <cellStyle name="Title" xfId="54" builtinId="15" customBuiltin="1"/>
    <cellStyle name="Total" xfId="55" builtinId="25" customBuiltin="1"/>
    <cellStyle name="Warning Text" xfId="56" builtinId="11" customBuiltin="1"/>
    <cellStyle name="WASP_PLStyle" xfId="57" xr:uid="{00000000-0005-0000-0000-00003A000000}"/>
    <cellStyle name="Year" xfId="58" xr:uid="{00000000-0005-0000-0000-00003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'Simple Binomial'!$C$5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'Simple Binomial'!$B$6:$B$56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'Simple Binomial'!$C$6:$C$56</c:f>
              <c:numCache>
                <c:formatCode>0.00%</c:formatCode>
                <c:ptCount val="51"/>
                <c:pt idx="0">
                  <c:v>0.36603234127322948</c:v>
                </c:pt>
                <c:pt idx="1">
                  <c:v>0.36972963764972688</c:v>
                </c:pt>
                <c:pt idx="2">
                  <c:v>0.18486481882486341</c:v>
                </c:pt>
                <c:pt idx="3">
                  <c:v>6.0999165807530689E-2</c:v>
                </c:pt>
                <c:pt idx="4">
                  <c:v>1.4941714856895154E-2</c:v>
                </c:pt>
                <c:pt idx="5">
                  <c:v>2.8977871237614865E-3</c:v>
                </c:pt>
                <c:pt idx="6">
                  <c:v>4.63450802621786E-4</c:v>
                </c:pt>
                <c:pt idx="7">
                  <c:v>6.2863456632680925E-5</c:v>
                </c:pt>
                <c:pt idx="8">
                  <c:v>7.3816937712617835E-6</c:v>
                </c:pt>
                <c:pt idx="9">
                  <c:v>7.6219509198213541E-7</c:v>
                </c:pt>
                <c:pt idx="10">
                  <c:v>7.0060356939771674E-8</c:v>
                </c:pt>
                <c:pt idx="11">
                  <c:v>5.7901121437828165E-9</c:v>
                </c:pt>
                <c:pt idx="12">
                  <c:v>4.3377102760662427E-10</c:v>
                </c:pt>
                <c:pt idx="13">
                  <c:v>2.9659557443188044E-11</c:v>
                </c:pt>
                <c:pt idx="14">
                  <c:v>1.8617471122347494E-12</c:v>
                </c:pt>
                <c:pt idx="15">
                  <c:v>1.0781835128093502E-13</c:v>
                </c:pt>
                <c:pt idx="16">
                  <c:v>5.78570698161581E-15</c:v>
                </c:pt>
                <c:pt idx="17">
                  <c:v>2.887696889219997E-16</c:v>
                </c:pt>
                <c:pt idx="18">
                  <c:v>1.3449991122629811E-17</c:v>
                </c:pt>
                <c:pt idx="19">
                  <c:v>5.8633666775951342E-19</c:v>
                </c:pt>
                <c:pt idx="20">
                  <c:v>2.3986500044707433E-20</c:v>
                </c:pt>
                <c:pt idx="21">
                  <c:v>9.2300144472177985E-22</c:v>
                </c:pt>
                <c:pt idx="22">
                  <c:v>3.3478932108824281E-23</c:v>
                </c:pt>
                <c:pt idx="23">
                  <c:v>1.1468408891033581E-24</c:v>
                </c:pt>
                <c:pt idx="24">
                  <c:v>3.7166139924645546E-26</c:v>
                </c:pt>
                <c:pt idx="25">
                  <c:v>1.1412632865749818E-27</c:v>
                </c:pt>
                <c:pt idx="26">
                  <c:v>3.3253592266170513E-29</c:v>
                </c:pt>
                <c:pt idx="27">
                  <c:v>9.2060075858460088E-31</c:v>
                </c:pt>
                <c:pt idx="28">
                  <c:v>2.4243815070951006E-32</c:v>
                </c:pt>
                <c:pt idx="29">
                  <c:v>6.0799536228089831E-34</c:v>
                </c:pt>
                <c:pt idx="30">
                  <c:v>1.4534569266647591E-35</c:v>
                </c:pt>
                <c:pt idx="31">
                  <c:v>3.3151510220441695E-37</c:v>
                </c:pt>
                <c:pt idx="32">
                  <c:v>7.2204993851338935E-39</c:v>
                </c:pt>
                <c:pt idx="33">
                  <c:v>1.502889373091852E-40</c:v>
                </c:pt>
                <c:pt idx="34">
                  <c:v>2.9914910278417375E-42</c:v>
                </c:pt>
                <c:pt idx="35">
                  <c:v>5.6980781482702005E-44</c:v>
                </c:pt>
                <c:pt idx="36">
                  <c:v>1.0392117834948243E-45</c:v>
                </c:pt>
                <c:pt idx="37">
                  <c:v>1.8157126438348063E-47</c:v>
                </c:pt>
                <c:pt idx="38">
                  <c:v>3.0406671069003973E-49</c:v>
                </c:pt>
                <c:pt idx="39">
                  <c:v>4.8827081229689154E-51</c:v>
                </c:pt>
                <c:pt idx="40">
                  <c:v>7.5213433207348919E-53</c:v>
                </c:pt>
                <c:pt idx="41">
                  <c:v>1.1118024125254351E-54</c:v>
                </c:pt>
                <c:pt idx="42">
                  <c:v>1.5775936108465867E-56</c:v>
                </c:pt>
                <c:pt idx="43">
                  <c:v>2.1494110742096296E-58</c:v>
                </c:pt>
                <c:pt idx="44">
                  <c:v>2.812590248621366E-60</c:v>
                </c:pt>
                <c:pt idx="45">
                  <c:v>3.5354669791874648E-62</c:v>
                </c:pt>
                <c:pt idx="46">
                  <c:v>4.2698876560233372E-64</c:v>
                </c:pt>
                <c:pt idx="47">
                  <c:v>4.9553821926770147E-66</c:v>
                </c:pt>
                <c:pt idx="48">
                  <c:v>5.5268361997449519E-68</c:v>
                </c:pt>
                <c:pt idx="49">
                  <c:v>5.92445851137392E-70</c:v>
                </c:pt>
                <c:pt idx="50">
                  <c:v>6.1039875571731348E-72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E-4968-8B98-C6E1853D7032}"/>
            </c:ext>
          </c:extLst>
        </c:ser>
        <c:ser>
          <c:idx val="1"/>
          <c:order val="1"/>
          <c:tx>
            <c:strRef>
              <c:f>'Simple Binomial'!$D$5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'Simple Binomial'!$B$6:$B$56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'Simple Binomial'!$D$6:$D$56</c:f>
              <c:numCache>
                <c:formatCode>General</c:formatCode>
                <c:ptCount val="51"/>
                <c:pt idx="0">
                  <c:v>0.24196459375461959</c:v>
                </c:pt>
                <c:pt idx="1">
                  <c:v>0.40095207790918391</c:v>
                </c:pt>
                <c:pt idx="2">
                  <c:v>0.24196459375461959</c:v>
                </c:pt>
                <c:pt idx="3">
                  <c:v>5.3177740306821861E-2</c:v>
                </c:pt>
                <c:pt idx="4">
                  <c:v>4.2562452216554541E-3</c:v>
                </c:pt>
                <c:pt idx="5">
                  <c:v>1.2406295171198304E-4</c:v>
                </c:pt>
                <c:pt idx="6">
                  <c:v>1.3169712155181831E-6</c:v>
                </c:pt>
                <c:pt idx="7">
                  <c:v>5.0913055451777361E-9</c:v>
                </c:pt>
                <c:pt idx="8">
                  <c:v>7.1680453556868115E-12</c:v>
                </c:pt>
                <c:pt idx="9">
                  <c:v>3.6752850945362507E-15</c:v>
                </c:pt>
                <c:pt idx="10">
                  <c:v>6.8627792111753631E-19</c:v>
                </c:pt>
                <c:pt idx="11">
                  <c:v>4.6668917341687353E-23</c:v>
                </c:pt>
                <c:pt idx="12">
                  <c:v>1.1557772188848511E-27</c:v>
                </c:pt>
                <c:pt idx="13">
                  <c:v>1.0424116086796072E-32</c:v>
                </c:pt>
                <c:pt idx="14">
                  <c:v>3.4239156223153151E-38</c:v>
                </c:pt>
                <c:pt idx="15">
                  <c:v>4.0956758096129141E-44</c:v>
                </c:pt>
                <c:pt idx="16">
                  <c:v>1.7842134039655925E-50</c:v>
                </c:pt>
                <c:pt idx="17">
                  <c:v>2.8306536096253952E-57</c:v>
                </c:pt>
                <c:pt idx="18">
                  <c:v>1.6354804702001727E-64</c:v>
                </c:pt>
                <c:pt idx="19">
                  <c:v>3.4413013316339193E-72</c:v>
                </c:pt>
                <c:pt idx="20">
                  <c:v>2.6370523282038044E-80</c:v>
                </c:pt>
                <c:pt idx="21">
                  <c:v>7.3592490110318957E-89</c:v>
                </c:pt>
                <c:pt idx="22">
                  <c:v>7.4794033358170977E-98</c:v>
                </c:pt>
                <c:pt idx="23">
                  <c:v>2.7683380014209731E-107</c:v>
                </c:pt>
                <c:pt idx="24">
                  <c:v>3.7315561435226945E-117</c:v>
                </c:pt>
                <c:pt idx="25">
                  <c:v>1.8318063121889748E-127</c:v>
                </c:pt>
                <c:pt idx="26">
                  <c:v>3.2748229656455253E-138</c:v>
                </c:pt>
                <c:pt idx="27">
                  <c:v>2.1321355363792488E-149</c:v>
                </c:pt>
                <c:pt idx="28">
                  <c:v>5.0554578645849996E-161</c:v>
                </c:pt>
                <c:pt idx="29">
                  <c:v>4.365408468767395E-173</c:v>
                </c:pt>
                <c:pt idx="30">
                  <c:v>1.3728022533078072E-185</c:v>
                </c:pt>
                <c:pt idx="31">
                  <c:v>1.5722072159603513E-198</c:v>
                </c:pt>
                <c:pt idx="32">
                  <c:v>6.5573791015728713E-212</c:v>
                </c:pt>
                <c:pt idx="33">
                  <c:v>9.9602331470331491E-226</c:v>
                </c:pt>
                <c:pt idx="34">
                  <c:v>5.5096932675438176E-240</c:v>
                </c:pt>
                <c:pt idx="35">
                  <c:v>1.1099516067217267E-254</c:v>
                </c:pt>
                <c:pt idx="36">
                  <c:v>8.1432800732098358E-270</c:v>
                </c:pt>
                <c:pt idx="37">
                  <c:v>2.1757721054782134E-285</c:v>
                </c:pt>
                <c:pt idx="38">
                  <c:v>2.1171232545567871E-301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FA1-B33C-EBD27BFDB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548456"/>
        <c:axId val="498549768"/>
      </c:barChart>
      <c:catAx>
        <c:axId val="498548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Defaults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49768"/>
        <c:crosses val="autoZero"/>
        <c:auto val="1"/>
        <c:lblAlgn val="ctr"/>
        <c:lblOffset val="100"/>
        <c:noMultiLvlLbl val="0"/>
      </c:catAx>
      <c:valAx>
        <c:axId val="498549768"/>
        <c:scaling>
          <c:orientation val="minMax"/>
          <c:min val="1.0000000000000005E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4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292100</xdr:colOff>
      <xdr:row>7</xdr:row>
      <xdr:rowOff>38100</xdr:rowOff>
    </xdr:from>
    <xdr:to>
      <xdr:col>12</xdr:col>
      <xdr:colOff>19050</xdr:colOff>
      <xdr:row>25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114300</xdr:rowOff>
    </xdr:from>
    <xdr:to>
      <xdr:col>12</xdr:col>
      <xdr:colOff>371460</xdr:colOff>
      <xdr:row>11</xdr:row>
      <xdr:rowOff>112880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53C3E-3637-4ADD-B02D-DF963CE803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714" t="29000" r="12201" b="6023"/>
        <a:stretch/>
      </xdr:blipFill>
      <xdr:spPr>
        <a:xfrm>
          <a:off x="4076700" y="480060"/>
          <a:ext cx="5652120" cy="29475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LFSModernCreditDerivs\LFS_CD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reditRiskModelingWorkshop\CRMWorkshop_Exampl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CntrptyRiskEuromoneyExamplesNew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LFSCounterpartyRisk\LFS_CollateralandCntrptyRiskNew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nvertibleBondsandCSA\CB_CSA_Examples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QTinRM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CntrptyRiskEuromoneyOLD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OneDrive\Documents\TrainingCourses\RMiB\IRB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QTinRM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StructuringandPricingCreditDerivs\CreditDerivsExample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Consulting\SimpleCCY%20CVA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QTinRM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LFSRiskManagement\OpRiskEVTFin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QTinRM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PricingExamples03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Book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StructuringandPricingCreditDerivs\CreditDerivsExamplesNew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CRBook\ExampleExercises\Chapter3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QTinRM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BilateralCntrptyRiskCalcs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con422PresentValueProblem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con422PresentValueProblem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StructuringandPricingCreditDerivs\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BlackModel"/>
      <sheetName val="BasketAnalytical"/>
      <sheetName val="IndexBasis"/>
      <sheetName val="HistoricalDefProbs"/>
      <sheetName val="Sheet1"/>
      <sheetName val="ImpliedDefProb"/>
      <sheetName val="CDSCntrptyRisk"/>
    </sheetNames>
    <sheetDataSet>
      <sheetData sheetId="0"/>
      <sheetData sheetId="1">
        <row r="13">
          <cell r="D13">
            <v>100</v>
          </cell>
        </row>
        <row r="14">
          <cell r="D14">
            <v>100</v>
          </cell>
        </row>
        <row r="20">
          <cell r="D20">
            <v>1.666666666666667E-2</v>
          </cell>
        </row>
        <row r="21">
          <cell r="D21">
            <v>0.96739522452573312</v>
          </cell>
        </row>
        <row r="24">
          <cell r="D24">
            <v>15.851941887820601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SimpleSpreadCDSPricer"/>
      <sheetName val="Bond-CDS Basis"/>
      <sheetName val="IndexBasis"/>
      <sheetName val="BasketPricer"/>
      <sheetName val="BasketMC"/>
      <sheetName val="HistoricalDefProbs"/>
      <sheetName val="ImpliedDefProb"/>
      <sheetName val="CDOPricer"/>
      <sheetName val="BaseCorrelation"/>
      <sheetName val="Bespoke"/>
      <sheetName val="CDSCntrptyRisk"/>
    </sheetNames>
    <sheetDataSet>
      <sheetData sheetId="0" refreshError="1"/>
      <sheetData sheetId="1">
        <row r="11">
          <cell r="C11">
            <v>100</v>
          </cell>
        </row>
        <row r="12">
          <cell r="C12">
            <v>250</v>
          </cell>
        </row>
        <row r="15">
          <cell r="C15">
            <v>5</v>
          </cell>
        </row>
        <row r="19">
          <cell r="C19">
            <v>4.0108727761500029</v>
          </cell>
        </row>
      </sheetData>
      <sheetData sheetId="2">
        <row r="9">
          <cell r="Q9">
            <v>5</v>
          </cell>
        </row>
        <row r="13">
          <cell r="C13">
            <v>0.1</v>
          </cell>
        </row>
        <row r="14">
          <cell r="C14">
            <v>0.4</v>
          </cell>
        </row>
        <row r="19">
          <cell r="C19">
            <v>4.5786647365585589</v>
          </cell>
        </row>
        <row r="21">
          <cell r="C21">
            <v>0.14107935492563872</v>
          </cell>
        </row>
      </sheetData>
      <sheetData sheetId="3" refreshError="1"/>
      <sheetData sheetId="4">
        <row r="14">
          <cell r="C14">
            <v>5</v>
          </cell>
        </row>
        <row r="15">
          <cell r="C15">
            <v>0</v>
          </cell>
        </row>
      </sheetData>
      <sheetData sheetId="5">
        <row r="11">
          <cell r="C11">
            <v>0.4</v>
          </cell>
        </row>
      </sheetData>
      <sheetData sheetId="6" refreshError="1"/>
      <sheetData sheetId="7"/>
      <sheetData sheetId="8">
        <row r="11">
          <cell r="C11">
            <v>0.4</v>
          </cell>
        </row>
        <row r="12">
          <cell r="C12">
            <v>5</v>
          </cell>
        </row>
        <row r="14">
          <cell r="C14">
            <v>0.05</v>
          </cell>
          <cell r="Q14">
            <v>-0.96704881626936445</v>
          </cell>
        </row>
        <row r="15">
          <cell r="Q15">
            <v>0.5</v>
          </cell>
        </row>
        <row r="16">
          <cell r="Q16">
            <v>0.8660254037844386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C8">
            <v>0</v>
          </cell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WCEandEPE"/>
      <sheetName val="Sheet1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ImpliedDefProb"/>
      <sheetName val="Exposure and Netting"/>
      <sheetName val="CVA"/>
      <sheetName val="SimpleWrongWay"/>
      <sheetName val="CDSCntrptyRisk"/>
      <sheetName val="CDSCntrptyRisk (2)"/>
      <sheetName val="HedgingCVA"/>
    </sheetNames>
    <sheetDataSet>
      <sheetData sheetId="0" refreshError="1"/>
      <sheetData sheetId="1" refreshError="1">
        <row r="11">
          <cell r="C11">
            <v>0.1</v>
          </cell>
        </row>
      </sheetData>
      <sheetData sheetId="2" refreshError="1"/>
      <sheetData sheetId="3" refreshError="1"/>
      <sheetData sheetId="4" refreshError="1">
        <row r="146">
          <cell r="F146">
            <v>2.3712774699700175E-4</v>
          </cell>
        </row>
      </sheetData>
      <sheetData sheetId="5" refreshError="1"/>
      <sheetData sheetId="6" refreshError="1"/>
      <sheetData sheetId="7" refreshError="1"/>
      <sheetData sheetId="8" refreshError="1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9" refreshError="1"/>
      <sheetData sheetId="10" refreshError="1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1" refreshError="1">
        <row r="12">
          <cell r="K12">
            <v>6.3291041006205222E-4</v>
          </cell>
        </row>
        <row r="17">
          <cell r="C17">
            <v>0</v>
          </cell>
        </row>
        <row r="21">
          <cell r="E21">
            <v>11</v>
          </cell>
        </row>
        <row r="264">
          <cell r="K264">
            <v>6.3291041006205222E-4</v>
          </cell>
        </row>
      </sheetData>
      <sheetData sheetId="12" refreshError="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3" refreshError="1">
        <row r="12">
          <cell r="D12">
            <v>100</v>
          </cell>
        </row>
        <row r="13">
          <cell r="D13">
            <v>2.5298221281347035E-2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4" refreshError="1"/>
      <sheetData sheetId="15" refreshError="1"/>
      <sheetData sheetId="16" refreshError="1"/>
      <sheetData sheetId="17" refreshError="1">
        <row r="13">
          <cell r="C13">
            <v>0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  <sheetData sheetId="20" refreshError="1">
        <row r="3">
          <cell r="B3">
            <v>-1.0465830851680291E-6</v>
          </cell>
        </row>
        <row r="4">
          <cell r="B4">
            <v>3.5803758097207204E-3</v>
          </cell>
          <cell r="K4">
            <v>5.0097766847046241E-2</v>
          </cell>
        </row>
        <row r="7">
          <cell r="B7">
            <v>0.04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Methodologies IRS"/>
      <sheetName val="IRB"/>
    </sheetNames>
    <sheetDataSet>
      <sheetData sheetId="0">
        <row r="8">
          <cell r="C8">
            <v>0</v>
          </cell>
          <cell r="F8">
            <v>1.4999999999999999E-2</v>
          </cell>
        </row>
        <row r="9">
          <cell r="C9">
            <v>10</v>
          </cell>
          <cell r="F9">
            <v>1.4999999999999999E-2</v>
          </cell>
          <cell r="J9">
            <v>-1.4164948860875826E-2</v>
          </cell>
        </row>
        <row r="10">
          <cell r="C10">
            <v>1.77E-2</v>
          </cell>
          <cell r="J10">
            <v>1.508608779306371E-2</v>
          </cell>
        </row>
        <row r="11">
          <cell r="C11" t="str">
            <v>REC</v>
          </cell>
          <cell r="J11">
            <v>-4.4863709214343524E-2</v>
          </cell>
        </row>
        <row r="12">
          <cell r="F12">
            <v>1.4</v>
          </cell>
          <cell r="J12">
            <v>0.1135543350926603</v>
          </cell>
        </row>
        <row r="13">
          <cell r="C13">
            <v>0.4</v>
          </cell>
          <cell r="F13">
            <v>7.8693868057473315</v>
          </cell>
          <cell r="J13">
            <v>6.6715731570411191E-2</v>
          </cell>
        </row>
        <row r="14">
          <cell r="C14">
            <v>-1.1120375348176972E-4</v>
          </cell>
          <cell r="F14">
            <v>1</v>
          </cell>
          <cell r="J14">
            <v>1.6880107255338658E-3</v>
          </cell>
          <cell r="K14">
            <v>1.7000000000000001E-2</v>
          </cell>
        </row>
        <row r="15">
          <cell r="C15" t="b">
            <v>0</v>
          </cell>
          <cell r="F15">
            <v>3.9346934028736659E-2</v>
          </cell>
          <cell r="J15">
            <v>4.1183592529052057E-2</v>
          </cell>
          <cell r="K15">
            <v>1.2699999999999999E-2</v>
          </cell>
        </row>
        <row r="16">
          <cell r="C16">
            <v>0</v>
          </cell>
          <cell r="F16">
            <v>0</v>
          </cell>
          <cell r="J16">
            <v>-0.17351717948468776</v>
          </cell>
          <cell r="K16">
            <v>1.06E-2</v>
          </cell>
        </row>
        <row r="17">
          <cell r="F17">
            <v>0.99858793207383723</v>
          </cell>
          <cell r="J17">
            <v>2.3302125180447151E-3</v>
          </cell>
          <cell r="K17">
            <v>1.3472193585307479</v>
          </cell>
        </row>
        <row r="18">
          <cell r="F18">
            <v>3.9291373485201835E-2</v>
          </cell>
        </row>
        <row r="19">
          <cell r="C19" t="str">
            <v>BBB</v>
          </cell>
          <cell r="F19">
            <v>5.5007922879282564E-2</v>
          </cell>
        </row>
        <row r="20">
          <cell r="C20" t="str">
            <v>Basic materials, energy, industrials, agriculture, manufacturing, mining and quarrying</v>
          </cell>
          <cell r="L20">
            <v>1</v>
          </cell>
        </row>
        <row r="21">
          <cell r="C21" t="str">
            <v>Option1</v>
          </cell>
          <cell r="L21">
            <v>4.1358314343996243E-3</v>
          </cell>
        </row>
        <row r="22">
          <cell r="C22">
            <v>0.01</v>
          </cell>
          <cell r="F22">
            <v>0.03</v>
          </cell>
          <cell r="L22">
            <v>1.5165371096539035E-3</v>
          </cell>
        </row>
        <row r="23">
          <cell r="F23">
            <v>1.5</v>
          </cell>
          <cell r="H23">
            <v>0.5</v>
          </cell>
          <cell r="I23">
            <v>1.1999999999999999E-3</v>
          </cell>
          <cell r="L23">
            <v>3.1393074138005199E-3</v>
          </cell>
        </row>
        <row r="24">
          <cell r="C24" t="str">
            <v>NO</v>
          </cell>
          <cell r="H24">
            <v>1</v>
          </cell>
          <cell r="I24">
            <v>1.8E-3</v>
          </cell>
        </row>
        <row r="25">
          <cell r="C25">
            <v>1E-3</v>
          </cell>
          <cell r="H25">
            <v>3</v>
          </cell>
          <cell r="I25">
            <v>5.0000000000000001E-3</v>
          </cell>
        </row>
        <row r="26">
          <cell r="C26">
            <v>0.4</v>
          </cell>
          <cell r="H26">
            <v>5</v>
          </cell>
          <cell r="I26">
            <v>9.1999999999999998E-3</v>
          </cell>
        </row>
        <row r="27">
          <cell r="E27">
            <v>0</v>
          </cell>
          <cell r="F27">
            <v>8.0000000000000002E-3</v>
          </cell>
          <cell r="H27">
            <v>10</v>
          </cell>
          <cell r="I27">
            <v>1.35E-2</v>
          </cell>
        </row>
        <row r="28">
          <cell r="E28">
            <v>1</v>
          </cell>
          <cell r="F28">
            <v>9.1999999999999998E-3</v>
          </cell>
          <cell r="I28">
            <v>0.6</v>
          </cell>
        </row>
        <row r="29">
          <cell r="C29">
            <v>0.23414753094008567</v>
          </cell>
          <cell r="E29">
            <v>3</v>
          </cell>
          <cell r="F29">
            <v>1.18E-2</v>
          </cell>
          <cell r="I29">
            <v>0.6</v>
          </cell>
        </row>
        <row r="30">
          <cell r="C30">
            <v>3.3191152357221657E-2</v>
          </cell>
          <cell r="E30">
            <v>5</v>
          </cell>
          <cell r="F30">
            <v>1.4E-2</v>
          </cell>
          <cell r="L30">
            <v>7.8693868057473315</v>
          </cell>
        </row>
        <row r="31">
          <cell r="C31">
            <v>5</v>
          </cell>
          <cell r="E31">
            <v>7</v>
          </cell>
          <cell r="F31">
            <v>1.6E-2</v>
          </cell>
        </row>
        <row r="32">
          <cell r="C32">
            <v>0.24693627853078248</v>
          </cell>
          <cell r="E32">
            <v>10</v>
          </cell>
          <cell r="F32">
            <v>1.7999999999999999E-2</v>
          </cell>
        </row>
        <row r="33">
          <cell r="C33">
            <v>2.5688564882644869</v>
          </cell>
        </row>
        <row r="40">
          <cell r="E40" t="str">
            <v>AAA</v>
          </cell>
        </row>
        <row r="41">
          <cell r="E41" t="str">
            <v>AA</v>
          </cell>
        </row>
        <row r="42">
          <cell r="E42" t="str">
            <v>A</v>
          </cell>
          <cell r="H42" t="str">
            <v>Sovereigns including central banks, multilateral development banks</v>
          </cell>
          <cell r="I42">
            <v>8.7999999999999995E-2</v>
          </cell>
          <cell r="J42">
            <v>0.20399999999999999</v>
          </cell>
          <cell r="K42">
            <v>5.0000000000000001E-3</v>
          </cell>
          <cell r="L42">
            <v>0.03</v>
          </cell>
          <cell r="M42">
            <v>8.9999999999999993E-3</v>
          </cell>
          <cell r="N42">
            <v>3.6999999999999998E-2</v>
          </cell>
        </row>
        <row r="43">
          <cell r="E43" t="str">
            <v>BBB</v>
          </cell>
          <cell r="H43" t="str">
            <v xml:space="preserve">Local government, government-backed non-financials, education, public administration, </v>
          </cell>
          <cell r="I43">
            <v>8.7999999999999995E-2</v>
          </cell>
          <cell r="J43">
            <v>0.20399999999999999</v>
          </cell>
          <cell r="K43">
            <v>0.01</v>
          </cell>
          <cell r="L43">
            <v>0.04</v>
          </cell>
          <cell r="M43">
            <v>1.2E-2</v>
          </cell>
          <cell r="N43">
            <v>0.04</v>
          </cell>
        </row>
        <row r="44">
          <cell r="E44" t="str">
            <v>BB</v>
          </cell>
          <cell r="H44" t="str">
            <v>Financials including government-backed financials</v>
          </cell>
          <cell r="I44">
            <v>0.10199999999999999</v>
          </cell>
          <cell r="J44">
            <v>0.17299999999999999</v>
          </cell>
          <cell r="K44">
            <v>0.05</v>
          </cell>
          <cell r="L44">
            <v>0.12</v>
          </cell>
          <cell r="M44">
            <v>6.0999999999999999E-2</v>
          </cell>
          <cell r="N44">
            <v>0.12</v>
          </cell>
        </row>
        <row r="45">
          <cell r="E45" t="str">
            <v>B</v>
          </cell>
          <cell r="H45" t="str">
            <v>Basic materials, energy, industrials, agriculture, manufacturing, mining and quarrying</v>
          </cell>
          <cell r="I45">
            <v>7.0999999999999994E-2</v>
          </cell>
          <cell r="J45">
            <v>0.13</v>
          </cell>
          <cell r="K45">
            <v>0.03</v>
          </cell>
          <cell r="L45">
            <v>7.0000000000000007E-2</v>
          </cell>
          <cell r="M45">
            <v>3.6999999999999998E-2</v>
          </cell>
          <cell r="N45">
            <v>7.0000000000000007E-2</v>
          </cell>
        </row>
        <row r="46">
          <cell r="E46" t="str">
            <v>CCC</v>
          </cell>
          <cell r="H46" t="str">
            <v>Consumer goods and services, transportation and storage, administrative and support service activities</v>
          </cell>
          <cell r="I46">
            <v>6.0999999999999999E-2</v>
          </cell>
          <cell r="J46">
            <v>0.14399999999999999</v>
          </cell>
          <cell r="K46">
            <v>0.03</v>
          </cell>
          <cell r="L46">
            <v>8.5000000000000006E-2</v>
          </cell>
          <cell r="M46">
            <v>3.6999999999999998E-2</v>
          </cell>
          <cell r="N46">
            <v>8.5000000000000006E-2</v>
          </cell>
        </row>
        <row r="47">
          <cell r="H47" t="str">
            <v>Technology, telecommunications</v>
          </cell>
          <cell r="I47">
            <v>5.0999999999999997E-2</v>
          </cell>
          <cell r="J47">
            <v>0.13</v>
          </cell>
          <cell r="K47">
            <v>0.02</v>
          </cell>
          <cell r="L47">
            <v>5.5E-2</v>
          </cell>
          <cell r="M47">
            <v>2.4E-2</v>
          </cell>
          <cell r="N47">
            <v>5.5E-2</v>
          </cell>
        </row>
        <row r="48">
          <cell r="H48" t="str">
            <v>Health care, utilities, professional and technical activities</v>
          </cell>
          <cell r="I48">
            <v>4.1000000000000002E-2</v>
          </cell>
          <cell r="J48">
            <v>8.6999999999999994E-2</v>
          </cell>
          <cell r="K48">
            <v>1.4999999999999999E-2</v>
          </cell>
          <cell r="L48">
            <v>0.05</v>
          </cell>
          <cell r="M48">
            <v>1.7999999999999999E-2</v>
          </cell>
          <cell r="N48">
            <v>0.05</v>
          </cell>
        </row>
        <row r="49">
          <cell r="H49" t="str">
            <v>Indices spanning multiple buckets</v>
          </cell>
          <cell r="I49">
            <v>4.1000000000000002E-2</v>
          </cell>
          <cell r="J49">
            <v>8.6999999999999994E-2</v>
          </cell>
          <cell r="K49" t="str">
            <v>n/a</v>
          </cell>
          <cell r="L49" t="str">
            <v>n/a</v>
          </cell>
          <cell r="M49" t="str">
            <v>n/a</v>
          </cell>
          <cell r="N49" t="str">
            <v>n/a</v>
          </cell>
        </row>
        <row r="51">
          <cell r="C51">
            <v>1</v>
          </cell>
          <cell r="D51">
            <v>0.7</v>
          </cell>
          <cell r="E51">
            <v>0.3</v>
          </cell>
        </row>
        <row r="52">
          <cell r="C52">
            <v>0.7</v>
          </cell>
          <cell r="D52">
            <v>1</v>
          </cell>
          <cell r="E52">
            <v>0.7</v>
          </cell>
        </row>
        <row r="53">
          <cell r="C53">
            <v>0.3</v>
          </cell>
          <cell r="D53">
            <v>0.7</v>
          </cell>
          <cell r="E53">
            <v>1</v>
          </cell>
        </row>
        <row r="57">
          <cell r="C57">
            <v>1</v>
          </cell>
          <cell r="D57">
            <v>0.65</v>
          </cell>
          <cell r="E57">
            <v>0.65</v>
          </cell>
          <cell r="F57">
            <v>0.65</v>
          </cell>
          <cell r="G57">
            <v>0.65</v>
          </cell>
        </row>
        <row r="58">
          <cell r="C58">
            <v>0.65</v>
          </cell>
          <cell r="D58">
            <v>1</v>
          </cell>
          <cell r="E58">
            <v>0.65</v>
          </cell>
          <cell r="F58">
            <v>0.65</v>
          </cell>
          <cell r="G58">
            <v>0.65</v>
          </cell>
        </row>
        <row r="59">
          <cell r="C59">
            <v>0.65</v>
          </cell>
          <cell r="D59">
            <v>0.65</v>
          </cell>
          <cell r="E59">
            <v>1</v>
          </cell>
          <cell r="F59">
            <v>0.65</v>
          </cell>
          <cell r="G59">
            <v>0.65</v>
          </cell>
        </row>
        <row r="60">
          <cell r="C60">
            <v>0.65</v>
          </cell>
          <cell r="D60">
            <v>0.65</v>
          </cell>
          <cell r="E60">
            <v>0.65</v>
          </cell>
          <cell r="F60">
            <v>1</v>
          </cell>
          <cell r="G60">
            <v>0.65</v>
          </cell>
        </row>
        <row r="61">
          <cell r="C61">
            <v>0.65</v>
          </cell>
          <cell r="D61">
            <v>0.65</v>
          </cell>
          <cell r="E61">
            <v>0.65</v>
          </cell>
          <cell r="F61">
            <v>0.65</v>
          </cell>
          <cell r="G61">
            <v>1</v>
          </cell>
        </row>
      </sheetData>
      <sheetData sheetId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>
        <row r="8">
          <cell r="D8">
            <v>0.6</v>
          </cell>
        </row>
      </sheetData>
      <sheetData sheetId="6">
        <row r="8">
          <cell r="D8">
            <v>110</v>
          </cell>
        </row>
        <row r="10">
          <cell r="D10">
            <v>4.3</v>
          </cell>
        </row>
      </sheetData>
      <sheetData sheetId="7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7.1"/>
      <sheetName val="Spreadsheet7.2"/>
      <sheetName val="Spreadsheet7.3"/>
      <sheetName val="Spreadsheet7.4"/>
      <sheetName val="Spreadsheet7.5"/>
    </sheetNames>
    <sheetDataSet>
      <sheetData sheetId="0">
        <row r="11">
          <cell r="C11">
            <v>2</v>
          </cell>
        </row>
        <row r="12">
          <cell r="C12">
            <v>4</v>
          </cell>
        </row>
        <row r="16">
          <cell r="C16">
            <v>2.7911862296052243</v>
          </cell>
        </row>
      </sheetData>
      <sheetData sheetId="1" refreshError="1"/>
      <sheetData sheetId="2">
        <row r="15">
          <cell r="C15" t="str">
            <v>IRS</v>
          </cell>
        </row>
      </sheetData>
      <sheetData sheetId="3">
        <row r="10">
          <cell r="C10">
            <v>500</v>
          </cell>
        </row>
        <row r="11">
          <cell r="C11">
            <v>0.4</v>
          </cell>
        </row>
        <row r="12">
          <cell r="C12">
            <v>0.05</v>
          </cell>
        </row>
        <row r="13">
          <cell r="C13">
            <v>0.75</v>
          </cell>
        </row>
        <row r="14">
          <cell r="C14">
            <v>0.99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0.97</v>
          </cell>
        </row>
      </sheetData>
      <sheetData sheetId="6">
        <row r="7">
          <cell r="C7">
            <v>0.05</v>
          </cell>
        </row>
        <row r="8">
          <cell r="C8">
            <v>0.1</v>
          </cell>
        </row>
      </sheetData>
      <sheetData sheetId="7"/>
      <sheetData sheetId="8">
        <row r="7">
          <cell r="G7">
            <v>0.1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EVTFitting"/>
      <sheetName val="PoissonFit"/>
      <sheetName val="PoissonSim"/>
      <sheetName val="LossDistCompare"/>
    </sheetNames>
    <sheetDataSet>
      <sheetData sheetId="0" refreshError="1"/>
      <sheetData sheetId="1" refreshError="1"/>
      <sheetData sheetId="2" refreshError="1"/>
      <sheetData sheetId="3">
        <row r="4">
          <cell r="D4">
            <v>0.5</v>
          </cell>
        </row>
        <row r="5">
          <cell r="D5">
            <v>80</v>
          </cell>
        </row>
      </sheetData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ComputingVolatility"/>
      <sheetName val="Data"/>
      <sheetName val="VarCovarExample"/>
      <sheetName val="HistoricalSimulation"/>
      <sheetName val="MonteCarloSimulation"/>
      <sheetName val="Compare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3.1"/>
      <sheetName val="Spreadsheet3.2"/>
    </sheetNames>
    <sheetDataSet>
      <sheetData sheetId="0">
        <row r="10">
          <cell r="C10">
            <v>2</v>
          </cell>
        </row>
        <row r="11">
          <cell r="C11">
            <v>10</v>
          </cell>
        </row>
      </sheetData>
      <sheetData sheetId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G8">
            <v>100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K132"/>
  <sheetViews>
    <sheetView zoomScale="120" zoomScaleNormal="120" workbookViewId="0">
      <selection activeCell="A4" sqref="A4"/>
    </sheetView>
  </sheetViews>
  <sheetFormatPr defaultRowHeight="13.2" x14ac:dyDescent="0.25"/>
  <cols>
    <col min="2" max="2" width="10.109375" bestFit="1" customWidth="1"/>
    <col min="5" max="5" width="21.77734375" bestFit="1" customWidth="1"/>
    <col min="6" max="6" width="12.33203125" bestFit="1" customWidth="1"/>
    <col min="10" max="10" width="12.33203125" bestFit="1" customWidth="1"/>
    <col min="11" max="11" width="13" customWidth="1"/>
  </cols>
  <sheetData>
    <row r="2" spans="1:11" x14ac:dyDescent="0.25">
      <c r="B2" s="2" t="s">
        <v>0</v>
      </c>
      <c r="C2" s="5">
        <v>0.01</v>
      </c>
      <c r="E2" s="2" t="s">
        <v>2</v>
      </c>
      <c r="F2">
        <f ca="1">SUMPRODUCT(B6:B106,C6:C106)</f>
        <v>1.0000000000000004</v>
      </c>
    </row>
    <row r="3" spans="1:11" x14ac:dyDescent="0.25">
      <c r="B3" s="2" t="s">
        <v>3</v>
      </c>
      <c r="C3">
        <v>100</v>
      </c>
      <c r="E3" s="2" t="s">
        <v>5</v>
      </c>
      <c r="F3" s="4">
        <f ca="1">SUMIF(B6:B106,"&gt;"&amp;F2*2,C6:C106)</f>
        <v>7.9373202252180378E-2</v>
      </c>
      <c r="G3" t="str">
        <f ca="1">"1 in "&amp;ROUND(1/F3,0)</f>
        <v>1 in 13</v>
      </c>
      <c r="J3" s="4"/>
      <c r="K3" s="14"/>
    </row>
    <row r="4" spans="1:11" x14ac:dyDescent="0.25">
      <c r="A4">
        <f ca="1">C2*C3</f>
        <v>1</v>
      </c>
      <c r="E4" s="2" t="s">
        <v>4</v>
      </c>
      <c r="F4" s="4">
        <f ca="1">SUMIF(B6:B106,"&gt;"&amp;F2*4,C6:C106)</f>
        <v>3.4323215877545203E-3</v>
      </c>
      <c r="G4" t="str">
        <f ca="1">"1 in "&amp;ROUND(1/F4,0)</f>
        <v>1 in 291</v>
      </c>
      <c r="J4" s="4"/>
      <c r="K4" s="14"/>
    </row>
    <row r="5" spans="1:11" x14ac:dyDescent="0.25">
      <c r="A5">
        <f ca="1">SQRT(C2*(1-C2)*C3)</f>
        <v>0.99498743710661997</v>
      </c>
      <c r="C5" s="2" t="s">
        <v>13</v>
      </c>
      <c r="D5" t="s">
        <v>14</v>
      </c>
      <c r="E5" s="2" t="s">
        <v>6</v>
      </c>
      <c r="F5" s="4">
        <f ca="1">SUMIF(B6:B106,"&gt;"&amp;F2*6,C6:C106)</f>
        <v>7.1083661371247438E-5</v>
      </c>
      <c r="G5" t="str">
        <f ca="1">"1 in "&amp;ROUND(1/F5,0)</f>
        <v>1 in 14068</v>
      </c>
      <c r="J5" s="4"/>
      <c r="K5" s="15"/>
    </row>
    <row r="6" spans="1:11" x14ac:dyDescent="0.25">
      <c r="B6">
        <v>0</v>
      </c>
      <c r="C6" s="1">
        <f ca="1">BINOMDIST(B6,$C$3,$C$2,FALSE)</f>
        <v>0.36603234127322948</v>
      </c>
      <c r="D6">
        <f ca="1">NORMDIST(B6,$A$4,$A$5,FALSE)</f>
        <v>0.24196459375461959</v>
      </c>
    </row>
    <row r="7" spans="1:11" x14ac:dyDescent="0.25">
      <c r="B7">
        <f ca="1">B6+1</f>
        <v>1</v>
      </c>
      <c r="C7" s="1">
        <f t="shared" ref="C7:C70" ca="1" si="0">BINOMDIST(B7,$C$3,$C$2,FALSE)</f>
        <v>0.36972963764972688</v>
      </c>
      <c r="D7">
        <f t="shared" ref="D7:D70" ca="1" si="1">NORMDIST(B7,$A$4,$A$5,FALSE)</f>
        <v>0.40095207790918391</v>
      </c>
    </row>
    <row r="8" spans="1:11" x14ac:dyDescent="0.25">
      <c r="B8">
        <f t="shared" ref="B8:B30" ca="1" si="2">B7+1</f>
        <v>2</v>
      </c>
      <c r="C8" s="1">
        <f t="shared" ca="1" si="0"/>
        <v>0.18486481882486341</v>
      </c>
      <c r="D8">
        <f t="shared" ca="1" si="1"/>
        <v>0.24196459375461959</v>
      </c>
    </row>
    <row r="9" spans="1:11" x14ac:dyDescent="0.25">
      <c r="B9">
        <f t="shared" ca="1" si="2"/>
        <v>3</v>
      </c>
      <c r="C9" s="1">
        <f t="shared" ca="1" si="0"/>
        <v>6.0999165807530689E-2</v>
      </c>
      <c r="D9">
        <f t="shared" ca="1" si="1"/>
        <v>5.3177740306821861E-2</v>
      </c>
    </row>
    <row r="10" spans="1:11" x14ac:dyDescent="0.25">
      <c r="B10">
        <f t="shared" ca="1" si="2"/>
        <v>4</v>
      </c>
      <c r="C10" s="1">
        <f t="shared" ca="1" si="0"/>
        <v>1.4941714856895154E-2</v>
      </c>
      <c r="D10">
        <f t="shared" ca="1" si="1"/>
        <v>4.2562452216554541E-3</v>
      </c>
    </row>
    <row r="11" spans="1:11" x14ac:dyDescent="0.25">
      <c r="B11">
        <f t="shared" ca="1" si="2"/>
        <v>5</v>
      </c>
      <c r="C11" s="1">
        <f t="shared" ca="1" si="0"/>
        <v>2.8977871237614865E-3</v>
      </c>
      <c r="D11">
        <f t="shared" ca="1" si="1"/>
        <v>1.2406295171198304E-4</v>
      </c>
    </row>
    <row r="12" spans="1:11" x14ac:dyDescent="0.25">
      <c r="B12">
        <f t="shared" ca="1" si="2"/>
        <v>6</v>
      </c>
      <c r="C12" s="1">
        <f t="shared" ca="1" si="0"/>
        <v>4.63450802621786E-4</v>
      </c>
      <c r="D12">
        <f t="shared" ca="1" si="1"/>
        <v>1.3169712155181831E-6</v>
      </c>
    </row>
    <row r="13" spans="1:11" x14ac:dyDescent="0.25">
      <c r="B13">
        <f t="shared" ca="1" si="2"/>
        <v>7</v>
      </c>
      <c r="C13" s="1">
        <f t="shared" ca="1" si="0"/>
        <v>6.2863456632680925E-5</v>
      </c>
      <c r="D13">
        <f t="shared" ca="1" si="1"/>
        <v>5.0913055451777361E-9</v>
      </c>
    </row>
    <row r="14" spans="1:11" x14ac:dyDescent="0.25">
      <c r="B14">
        <f t="shared" ca="1" si="2"/>
        <v>8</v>
      </c>
      <c r="C14" s="1">
        <f t="shared" ca="1" si="0"/>
        <v>7.3816937712617835E-6</v>
      </c>
      <c r="D14">
        <f t="shared" ca="1" si="1"/>
        <v>7.1680453556868115E-12</v>
      </c>
    </row>
    <row r="15" spans="1:11" x14ac:dyDescent="0.25">
      <c r="B15">
        <f t="shared" ca="1" si="2"/>
        <v>9</v>
      </c>
      <c r="C15" s="1">
        <f t="shared" ca="1" si="0"/>
        <v>7.6219509198213541E-7</v>
      </c>
      <c r="D15">
        <f t="shared" ca="1" si="1"/>
        <v>3.6752850945362507E-15</v>
      </c>
    </row>
    <row r="16" spans="1:11" x14ac:dyDescent="0.25">
      <c r="B16">
        <f t="shared" ca="1" si="2"/>
        <v>10</v>
      </c>
      <c r="C16" s="1">
        <f t="shared" ca="1" si="0"/>
        <v>7.0060356939771674E-8</v>
      </c>
      <c r="D16">
        <f t="shared" ca="1" si="1"/>
        <v>6.8627792111753631E-19</v>
      </c>
    </row>
    <row r="17" spans="2:4" x14ac:dyDescent="0.25">
      <c r="B17">
        <f t="shared" ca="1" si="2"/>
        <v>11</v>
      </c>
      <c r="C17" s="1">
        <f t="shared" ca="1" si="0"/>
        <v>5.7901121437828165E-9</v>
      </c>
      <c r="D17">
        <f t="shared" ca="1" si="1"/>
        <v>4.6668917341687353E-23</v>
      </c>
    </row>
    <row r="18" spans="2:4" x14ac:dyDescent="0.25">
      <c r="B18">
        <f t="shared" ca="1" si="2"/>
        <v>12</v>
      </c>
      <c r="C18" s="1">
        <f t="shared" ca="1" si="0"/>
        <v>4.3377102760662427E-10</v>
      </c>
      <c r="D18">
        <f t="shared" ca="1" si="1"/>
        <v>1.1557772188848511E-27</v>
      </c>
    </row>
    <row r="19" spans="2:4" x14ac:dyDescent="0.25">
      <c r="B19">
        <f t="shared" ca="1" si="2"/>
        <v>13</v>
      </c>
      <c r="C19" s="1">
        <f t="shared" ca="1" si="0"/>
        <v>2.9659557443188044E-11</v>
      </c>
      <c r="D19">
        <f t="shared" ca="1" si="1"/>
        <v>1.0424116086796072E-32</v>
      </c>
    </row>
    <row r="20" spans="2:4" x14ac:dyDescent="0.25">
      <c r="B20">
        <f t="shared" ca="1" si="2"/>
        <v>14</v>
      </c>
      <c r="C20" s="1">
        <f t="shared" ca="1" si="0"/>
        <v>1.8617471122347494E-12</v>
      </c>
      <c r="D20">
        <f t="shared" ca="1" si="1"/>
        <v>3.4239156223153151E-38</v>
      </c>
    </row>
    <row r="21" spans="2:4" x14ac:dyDescent="0.25">
      <c r="B21">
        <f t="shared" ca="1" si="2"/>
        <v>15</v>
      </c>
      <c r="C21" s="1">
        <f t="shared" ca="1" si="0"/>
        <v>1.0781835128093502E-13</v>
      </c>
      <c r="D21">
        <f t="shared" ca="1" si="1"/>
        <v>4.0956758096129141E-44</v>
      </c>
    </row>
    <row r="22" spans="2:4" x14ac:dyDescent="0.25">
      <c r="B22">
        <f t="shared" ca="1" si="2"/>
        <v>16</v>
      </c>
      <c r="C22" s="1">
        <f t="shared" ca="1" si="0"/>
        <v>5.78570698161581E-15</v>
      </c>
      <c r="D22">
        <f t="shared" ca="1" si="1"/>
        <v>1.7842134039655925E-50</v>
      </c>
    </row>
    <row r="23" spans="2:4" x14ac:dyDescent="0.25">
      <c r="B23">
        <f t="shared" ca="1" si="2"/>
        <v>17</v>
      </c>
      <c r="C23" s="1">
        <f t="shared" ca="1" si="0"/>
        <v>2.887696889219997E-16</v>
      </c>
      <c r="D23">
        <f t="shared" ca="1" si="1"/>
        <v>2.8306536096253952E-57</v>
      </c>
    </row>
    <row r="24" spans="2:4" x14ac:dyDescent="0.25">
      <c r="B24">
        <f t="shared" ca="1" si="2"/>
        <v>18</v>
      </c>
      <c r="C24" s="1">
        <f t="shared" ca="1" si="0"/>
        <v>1.3449991122629811E-17</v>
      </c>
      <c r="D24">
        <f t="shared" ca="1" si="1"/>
        <v>1.6354804702001727E-64</v>
      </c>
    </row>
    <row r="25" spans="2:4" x14ac:dyDescent="0.25">
      <c r="B25">
        <f t="shared" ca="1" si="2"/>
        <v>19</v>
      </c>
      <c r="C25" s="1">
        <f t="shared" ca="1" si="0"/>
        <v>5.8633666775951342E-19</v>
      </c>
      <c r="D25">
        <f t="shared" ca="1" si="1"/>
        <v>3.4413013316339193E-72</v>
      </c>
    </row>
    <row r="26" spans="2:4" x14ac:dyDescent="0.25">
      <c r="B26">
        <f t="shared" ca="1" si="2"/>
        <v>20</v>
      </c>
      <c r="C26" s="1">
        <f t="shared" ca="1" si="0"/>
        <v>2.3986500044707433E-20</v>
      </c>
      <c r="D26">
        <f t="shared" ca="1" si="1"/>
        <v>2.6370523282038044E-80</v>
      </c>
    </row>
    <row r="27" spans="2:4" x14ac:dyDescent="0.25">
      <c r="B27">
        <f t="shared" ca="1" si="2"/>
        <v>21</v>
      </c>
      <c r="C27" s="1">
        <f t="shared" ca="1" si="0"/>
        <v>9.2300144472177985E-22</v>
      </c>
      <c r="D27">
        <f t="shared" ca="1" si="1"/>
        <v>7.3592490110318957E-89</v>
      </c>
    </row>
    <row r="28" spans="2:4" x14ac:dyDescent="0.25">
      <c r="B28">
        <f t="shared" ca="1" si="2"/>
        <v>22</v>
      </c>
      <c r="C28" s="1">
        <f t="shared" ca="1" si="0"/>
        <v>3.3478932108824281E-23</v>
      </c>
      <c r="D28">
        <f t="shared" ca="1" si="1"/>
        <v>7.4794033358170977E-98</v>
      </c>
    </row>
    <row r="29" spans="2:4" x14ac:dyDescent="0.25">
      <c r="B29">
        <f t="shared" ca="1" si="2"/>
        <v>23</v>
      </c>
      <c r="C29" s="1">
        <f t="shared" ca="1" si="0"/>
        <v>1.1468408891033581E-24</v>
      </c>
      <c r="D29">
        <f t="shared" ca="1" si="1"/>
        <v>2.7683380014209731E-107</v>
      </c>
    </row>
    <row r="30" spans="2:4" x14ac:dyDescent="0.25">
      <c r="B30">
        <f t="shared" ca="1" si="2"/>
        <v>24</v>
      </c>
      <c r="C30" s="1">
        <f t="shared" ca="1" si="0"/>
        <v>3.7166139924645546E-26</v>
      </c>
      <c r="D30">
        <f t="shared" ca="1" si="1"/>
        <v>3.7315561435226945E-117</v>
      </c>
    </row>
    <row r="31" spans="2:4" x14ac:dyDescent="0.25">
      <c r="B31">
        <f t="shared" ref="B31:B94" ca="1" si="3">B30+1</f>
        <v>25</v>
      </c>
      <c r="C31" s="1">
        <f t="shared" ca="1" si="0"/>
        <v>1.1412632865749818E-27</v>
      </c>
      <c r="D31">
        <f t="shared" ca="1" si="1"/>
        <v>1.8318063121889748E-127</v>
      </c>
    </row>
    <row r="32" spans="2:4" x14ac:dyDescent="0.25">
      <c r="B32">
        <f t="shared" ca="1" si="3"/>
        <v>26</v>
      </c>
      <c r="C32" s="1">
        <f t="shared" ca="1" si="0"/>
        <v>3.3253592266170513E-29</v>
      </c>
      <c r="D32">
        <f t="shared" ca="1" si="1"/>
        <v>3.2748229656455253E-138</v>
      </c>
    </row>
    <row r="33" spans="2:5" x14ac:dyDescent="0.25">
      <c r="B33">
        <f t="shared" ca="1" si="3"/>
        <v>27</v>
      </c>
      <c r="C33" s="1">
        <f t="shared" ca="1" si="0"/>
        <v>9.2060075858460088E-31</v>
      </c>
      <c r="D33">
        <f t="shared" ca="1" si="1"/>
        <v>2.1321355363792488E-149</v>
      </c>
    </row>
    <row r="34" spans="2:5" x14ac:dyDescent="0.25">
      <c r="B34">
        <f t="shared" ca="1" si="3"/>
        <v>28</v>
      </c>
      <c r="C34" s="1">
        <f t="shared" ca="1" si="0"/>
        <v>2.4243815070951006E-32</v>
      </c>
      <c r="D34">
        <f t="shared" ca="1" si="1"/>
        <v>5.0554578645849996E-161</v>
      </c>
    </row>
    <row r="35" spans="2:5" x14ac:dyDescent="0.25">
      <c r="B35">
        <f t="shared" ca="1" si="3"/>
        <v>29</v>
      </c>
      <c r="C35" s="1">
        <f t="shared" ca="1" si="0"/>
        <v>6.0799536228089831E-34</v>
      </c>
      <c r="D35">
        <f t="shared" ca="1" si="1"/>
        <v>4.365408468767395E-173</v>
      </c>
    </row>
    <row r="36" spans="2:5" x14ac:dyDescent="0.25">
      <c r="B36">
        <f t="shared" ca="1" si="3"/>
        <v>30</v>
      </c>
      <c r="C36" s="1">
        <f t="shared" ca="1" si="0"/>
        <v>1.4534569266647591E-35</v>
      </c>
      <c r="D36">
        <f t="shared" ca="1" si="1"/>
        <v>1.3728022533078072E-185</v>
      </c>
    </row>
    <row r="37" spans="2:5" x14ac:dyDescent="0.25">
      <c r="B37">
        <f t="shared" ca="1" si="3"/>
        <v>31</v>
      </c>
      <c r="C37" s="1">
        <f t="shared" ca="1" si="0"/>
        <v>3.3151510220441695E-37</v>
      </c>
      <c r="D37">
        <f t="shared" ca="1" si="1"/>
        <v>1.5722072159603513E-198</v>
      </c>
    </row>
    <row r="38" spans="2:5" x14ac:dyDescent="0.25">
      <c r="B38">
        <f t="shared" ca="1" si="3"/>
        <v>32</v>
      </c>
      <c r="C38" s="1">
        <f t="shared" ca="1" si="0"/>
        <v>7.2204993851338935E-39</v>
      </c>
      <c r="D38">
        <f t="shared" ca="1" si="1"/>
        <v>6.5573791015728713E-212</v>
      </c>
    </row>
    <row r="39" spans="2:5" x14ac:dyDescent="0.25">
      <c r="B39">
        <f t="shared" ca="1" si="3"/>
        <v>33</v>
      </c>
      <c r="C39" s="1">
        <f t="shared" ca="1" si="0"/>
        <v>1.502889373091852E-40</v>
      </c>
      <c r="D39">
        <f t="shared" ca="1" si="1"/>
        <v>9.9602331470331491E-226</v>
      </c>
    </row>
    <row r="40" spans="2:5" x14ac:dyDescent="0.25">
      <c r="B40">
        <f t="shared" ca="1" si="3"/>
        <v>34</v>
      </c>
      <c r="C40" s="1">
        <f t="shared" ca="1" si="0"/>
        <v>2.9914910278417375E-42</v>
      </c>
      <c r="D40">
        <f t="shared" ca="1" si="1"/>
        <v>5.5096932675438176E-240</v>
      </c>
    </row>
    <row r="41" spans="2:5" x14ac:dyDescent="0.25">
      <c r="B41">
        <f t="shared" ca="1" si="3"/>
        <v>35</v>
      </c>
      <c r="C41" s="1">
        <f t="shared" ca="1" si="0"/>
        <v>5.6980781482702005E-44</v>
      </c>
      <c r="D41">
        <f t="shared" ca="1" si="1"/>
        <v>1.1099516067217267E-254</v>
      </c>
    </row>
    <row r="42" spans="2:5" x14ac:dyDescent="0.25">
      <c r="B42">
        <f t="shared" ca="1" si="3"/>
        <v>36</v>
      </c>
      <c r="C42" s="1">
        <f t="shared" ca="1" si="0"/>
        <v>1.0392117834948243E-45</v>
      </c>
      <c r="D42">
        <f t="shared" ca="1" si="1"/>
        <v>8.1432800732098358E-270</v>
      </c>
    </row>
    <row r="43" spans="2:5" x14ac:dyDescent="0.25">
      <c r="B43">
        <f t="shared" ca="1" si="3"/>
        <v>37</v>
      </c>
      <c r="C43" s="1">
        <f t="shared" ca="1" si="0"/>
        <v>1.8157126438348063E-47</v>
      </c>
      <c r="D43">
        <f t="shared" ca="1" si="1"/>
        <v>2.1757721054782134E-285</v>
      </c>
    </row>
    <row r="44" spans="2:5" x14ac:dyDescent="0.25">
      <c r="B44">
        <f t="shared" ca="1" si="3"/>
        <v>38</v>
      </c>
      <c r="C44" s="1">
        <f t="shared" ca="1" si="0"/>
        <v>3.0406671069003973E-49</v>
      </c>
      <c r="D44">
        <f t="shared" ca="1" si="1"/>
        <v>2.1171232545567871E-301</v>
      </c>
    </row>
    <row r="45" spans="2:5" x14ac:dyDescent="0.25">
      <c r="B45">
        <f t="shared" ca="1" si="3"/>
        <v>39</v>
      </c>
      <c r="C45" s="1">
        <f t="shared" ca="1" si="0"/>
        <v>4.8827081229689154E-51</v>
      </c>
      <c r="D45">
        <f t="shared" ca="1" si="1"/>
        <v>0</v>
      </c>
    </row>
    <row r="46" spans="2:5" x14ac:dyDescent="0.25">
      <c r="B46">
        <f t="shared" ca="1" si="3"/>
        <v>40</v>
      </c>
      <c r="C46" s="1">
        <f t="shared" ca="1" si="0"/>
        <v>7.5213433207348919E-53</v>
      </c>
      <c r="D46">
        <f t="shared" ca="1" si="1"/>
        <v>0</v>
      </c>
    </row>
    <row r="47" spans="2:5" x14ac:dyDescent="0.25">
      <c r="B47">
        <f t="shared" ca="1" si="3"/>
        <v>41</v>
      </c>
      <c r="C47" s="1">
        <f t="shared" ca="1" si="0"/>
        <v>1.1118024125254351E-54</v>
      </c>
      <c r="D47">
        <f t="shared" ca="1" si="1"/>
        <v>0</v>
      </c>
    </row>
    <row r="48" spans="2:5" x14ac:dyDescent="0.25">
      <c r="B48">
        <f t="shared" ca="1" si="3"/>
        <v>42</v>
      </c>
      <c r="C48" s="1">
        <f t="shared" ca="1" si="0"/>
        <v>1.5775936108465867E-56</v>
      </c>
      <c r="D48">
        <f t="shared" ca="1" si="1"/>
        <v>0</v>
      </c>
      <c r="E48" s="3"/>
    </row>
    <row r="49" spans="2:4" x14ac:dyDescent="0.25">
      <c r="B49">
        <f t="shared" ca="1" si="3"/>
        <v>43</v>
      </c>
      <c r="C49" s="1">
        <f t="shared" ca="1" si="0"/>
        <v>2.1494110742096296E-58</v>
      </c>
      <c r="D49">
        <f t="shared" ca="1" si="1"/>
        <v>0</v>
      </c>
    </row>
    <row r="50" spans="2:4" x14ac:dyDescent="0.25">
      <c r="B50">
        <f t="shared" ca="1" si="3"/>
        <v>44</v>
      </c>
      <c r="C50" s="1">
        <f t="shared" ca="1" si="0"/>
        <v>2.812590248621366E-60</v>
      </c>
      <c r="D50">
        <f t="shared" ca="1" si="1"/>
        <v>0</v>
      </c>
    </row>
    <row r="51" spans="2:4" x14ac:dyDescent="0.25">
      <c r="B51">
        <f t="shared" ca="1" si="3"/>
        <v>45</v>
      </c>
      <c r="C51" s="1">
        <f t="shared" ca="1" si="0"/>
        <v>3.5354669791874648E-62</v>
      </c>
      <c r="D51">
        <f t="shared" ca="1" si="1"/>
        <v>0</v>
      </c>
    </row>
    <row r="52" spans="2:4" x14ac:dyDescent="0.25">
      <c r="B52">
        <f t="shared" ca="1" si="3"/>
        <v>46</v>
      </c>
      <c r="C52" s="1">
        <f t="shared" ca="1" si="0"/>
        <v>4.2698876560233372E-64</v>
      </c>
      <c r="D52">
        <f t="shared" ca="1" si="1"/>
        <v>0</v>
      </c>
    </row>
    <row r="53" spans="2:4" x14ac:dyDescent="0.25">
      <c r="B53">
        <f t="shared" ca="1" si="3"/>
        <v>47</v>
      </c>
      <c r="C53" s="1">
        <f t="shared" ca="1" si="0"/>
        <v>4.9553821926770147E-66</v>
      </c>
      <c r="D53">
        <f t="shared" ca="1" si="1"/>
        <v>0</v>
      </c>
    </row>
    <row r="54" spans="2:4" x14ac:dyDescent="0.25">
      <c r="B54">
        <f t="shared" ca="1" si="3"/>
        <v>48</v>
      </c>
      <c r="C54" s="1">
        <f t="shared" ca="1" si="0"/>
        <v>5.5268361997449519E-68</v>
      </c>
      <c r="D54">
        <f t="shared" ca="1" si="1"/>
        <v>0</v>
      </c>
    </row>
    <row r="55" spans="2:4" x14ac:dyDescent="0.25">
      <c r="B55">
        <f t="shared" ca="1" si="3"/>
        <v>49</v>
      </c>
      <c r="C55" s="1">
        <f t="shared" ca="1" si="0"/>
        <v>5.92445851137392E-70</v>
      </c>
      <c r="D55">
        <f t="shared" ca="1" si="1"/>
        <v>0</v>
      </c>
    </row>
    <row r="56" spans="2:4" x14ac:dyDescent="0.25">
      <c r="B56">
        <f t="shared" ca="1" si="3"/>
        <v>50</v>
      </c>
      <c r="C56" s="1">
        <f t="shared" ca="1" si="0"/>
        <v>6.1039875571731348E-72</v>
      </c>
      <c r="D56">
        <f t="shared" ca="1" si="1"/>
        <v>0</v>
      </c>
    </row>
    <row r="57" spans="2:4" x14ac:dyDescent="0.25">
      <c r="B57">
        <f t="shared" ca="1" si="3"/>
        <v>51</v>
      </c>
      <c r="C57" s="1">
        <f t="shared" ca="1" si="0"/>
        <v>6.0447490168083553E-74</v>
      </c>
      <c r="D57">
        <f t="shared" ca="1" si="1"/>
        <v>0</v>
      </c>
    </row>
    <row r="58" spans="2:4" x14ac:dyDescent="0.25">
      <c r="B58">
        <f t="shared" ca="1" si="3"/>
        <v>52</v>
      </c>
      <c r="C58" s="1">
        <f t="shared" ca="1" si="0"/>
        <v>5.7535489864724856E-76</v>
      </c>
      <c r="D58">
        <f t="shared" ca="1" si="1"/>
        <v>0</v>
      </c>
    </row>
    <row r="59" spans="2:4" x14ac:dyDescent="0.25">
      <c r="B59">
        <f t="shared" ca="1" si="3"/>
        <v>53</v>
      </c>
      <c r="C59" s="1">
        <f t="shared" ca="1" si="0"/>
        <v>5.2633952992316849E-78</v>
      </c>
      <c r="D59">
        <f t="shared" ca="1" si="1"/>
        <v>0</v>
      </c>
    </row>
    <row r="60" spans="2:4" x14ac:dyDescent="0.25">
      <c r="B60">
        <f t="shared" ca="1" si="3"/>
        <v>54</v>
      </c>
      <c r="C60" s="1">
        <f t="shared" ca="1" si="0"/>
        <v>4.6273770868664173E-80</v>
      </c>
      <c r="D60">
        <f t="shared" ca="1" si="1"/>
        <v>0</v>
      </c>
    </row>
    <row r="61" spans="2:4" x14ac:dyDescent="0.25">
      <c r="B61">
        <f t="shared" ca="1" si="3"/>
        <v>55</v>
      </c>
      <c r="C61" s="1">
        <f t="shared" ca="1" si="0"/>
        <v>3.9092625527246257E-82</v>
      </c>
      <c r="D61">
        <f t="shared" ca="1" si="1"/>
        <v>0</v>
      </c>
    </row>
    <row r="62" spans="2:4" x14ac:dyDescent="0.25">
      <c r="B62">
        <f t="shared" ca="1" si="3"/>
        <v>56</v>
      </c>
      <c r="C62" s="1">
        <f t="shared" ca="1" si="0"/>
        <v>3.1731027213673519E-84</v>
      </c>
      <c r="D62">
        <f t="shared" ca="1" si="1"/>
        <v>0</v>
      </c>
    </row>
    <row r="63" spans="2:4" x14ac:dyDescent="0.25">
      <c r="B63">
        <f t="shared" ca="1" si="3"/>
        <v>57</v>
      </c>
      <c r="C63" s="1">
        <f t="shared" ca="1" si="0"/>
        <v>2.4741541687075097E-86</v>
      </c>
      <c r="D63">
        <f t="shared" ca="1" si="1"/>
        <v>0</v>
      </c>
    </row>
    <row r="64" spans="2:4" x14ac:dyDescent="0.25">
      <c r="B64">
        <f t="shared" ca="1" si="3"/>
        <v>58</v>
      </c>
      <c r="C64" s="1">
        <f t="shared" ca="1" si="0"/>
        <v>1.8528148598819977E-88</v>
      </c>
      <c r="D64">
        <f t="shared" ca="1" si="1"/>
        <v>0</v>
      </c>
    </row>
    <row r="65" spans="2:4" x14ac:dyDescent="0.25">
      <c r="B65">
        <f t="shared" ca="1" si="3"/>
        <v>59</v>
      </c>
      <c r="C65" s="1">
        <f t="shared" ca="1" si="0"/>
        <v>1.3322757081842623E-90</v>
      </c>
      <c r="D65">
        <f t="shared" ca="1" si="1"/>
        <v>0</v>
      </c>
    </row>
    <row r="66" spans="2:4" x14ac:dyDescent="0.25">
      <c r="B66">
        <f t="shared" ca="1" si="3"/>
        <v>60</v>
      </c>
      <c r="C66" s="1">
        <f t="shared" ca="1" si="0"/>
        <v>9.1958424302285184E-93</v>
      </c>
      <c r="D66">
        <f t="shared" ca="1" si="1"/>
        <v>0</v>
      </c>
    </row>
    <row r="67" spans="2:4" x14ac:dyDescent="0.25">
      <c r="B67">
        <f t="shared" ca="1" si="3"/>
        <v>61</v>
      </c>
      <c r="C67" s="1">
        <f t="shared" ca="1" si="0"/>
        <v>6.0909703131169046E-95</v>
      </c>
      <c r="D67">
        <f t="shared" ca="1" si="1"/>
        <v>0</v>
      </c>
    </row>
    <row r="68" spans="2:4" x14ac:dyDescent="0.25">
      <c r="B68">
        <f t="shared" ca="1" si="3"/>
        <v>62</v>
      </c>
      <c r="C68" s="1">
        <f t="shared" ca="1" si="0"/>
        <v>3.8701179897614991E-97</v>
      </c>
      <c r="D68">
        <f t="shared" ca="1" si="1"/>
        <v>0</v>
      </c>
    </row>
    <row r="69" spans="2:4" x14ac:dyDescent="0.25">
      <c r="B69">
        <f t="shared" ca="1" si="3"/>
        <v>63</v>
      </c>
      <c r="C69" s="1">
        <f t="shared" ca="1" si="0"/>
        <v>2.3579362451649781E-99</v>
      </c>
      <c r="D69">
        <f t="shared" ca="1" si="1"/>
        <v>0</v>
      </c>
    </row>
    <row r="70" spans="2:4" x14ac:dyDescent="0.25">
      <c r="B70">
        <f t="shared" ca="1" si="3"/>
        <v>64</v>
      </c>
      <c r="C70" s="1">
        <f t="shared" ca="1" si="0"/>
        <v>1.3769514057939457E-101</v>
      </c>
      <c r="D70">
        <f t="shared" ca="1" si="1"/>
        <v>0</v>
      </c>
    </row>
    <row r="71" spans="2:4" x14ac:dyDescent="0.25">
      <c r="B71">
        <f t="shared" ca="1" si="3"/>
        <v>65</v>
      </c>
      <c r="C71" s="1">
        <f t="shared" ref="C71:C106" ca="1" si="4">BINOMDIST(B71,$C$3,$C$2,FALSE)</f>
        <v>7.7032246477981708E-104</v>
      </c>
      <c r="D71">
        <f t="shared" ref="D71:D106" ca="1" si="5">NORMDIST(B71,$A$4,$A$5,FALSE)</f>
        <v>0</v>
      </c>
    </row>
    <row r="72" spans="2:4" x14ac:dyDescent="0.25">
      <c r="B72">
        <f t="shared" ca="1" si="3"/>
        <v>66</v>
      </c>
      <c r="C72" s="1">
        <f t="shared" ca="1" si="4"/>
        <v>4.1263064382145465E-106</v>
      </c>
      <c r="D72">
        <f t="shared" ca="1" si="5"/>
        <v>0</v>
      </c>
    </row>
    <row r="73" spans="2:4" x14ac:dyDescent="0.25">
      <c r="B73">
        <f t="shared" ca="1" si="3"/>
        <v>67</v>
      </c>
      <c r="C73" s="1">
        <f t="shared" ca="1" si="4"/>
        <v>2.1150975259957632E-108</v>
      </c>
      <c r="D73">
        <f t="shared" ca="1" si="5"/>
        <v>0</v>
      </c>
    </row>
    <row r="74" spans="2:4" x14ac:dyDescent="0.25">
      <c r="B74">
        <f t="shared" ca="1" si="3"/>
        <v>68</v>
      </c>
      <c r="C74" s="1">
        <f t="shared" ca="1" si="4"/>
        <v>1.036812512742917E-110</v>
      </c>
      <c r="D74">
        <f t="shared" ca="1" si="5"/>
        <v>0</v>
      </c>
    </row>
    <row r="75" spans="2:4" x14ac:dyDescent="0.25">
      <c r="B75">
        <f t="shared" ca="1" si="3"/>
        <v>69</v>
      </c>
      <c r="C75" s="1">
        <f t="shared" ca="1" si="4"/>
        <v>4.8569756123224814E-113</v>
      </c>
      <c r="D75">
        <f t="shared" ca="1" si="5"/>
        <v>0</v>
      </c>
    </row>
    <row r="76" spans="2:4" x14ac:dyDescent="0.25">
      <c r="B76">
        <f t="shared" ca="1" si="3"/>
        <v>70</v>
      </c>
      <c r="C76" s="1">
        <f t="shared" ca="1" si="4"/>
        <v>2.1726730733333418E-115</v>
      </c>
      <c r="D76">
        <f t="shared" ca="1" si="5"/>
        <v>0</v>
      </c>
    </row>
    <row r="77" spans="2:4" x14ac:dyDescent="0.25">
      <c r="B77">
        <f t="shared" ca="1" si="3"/>
        <v>71</v>
      </c>
      <c r="C77" s="1">
        <f t="shared" ca="1" si="4"/>
        <v>9.2730391520841382E-118</v>
      </c>
      <c r="D77">
        <f t="shared" ca="1" si="5"/>
        <v>0</v>
      </c>
    </row>
    <row r="78" spans="2:4" x14ac:dyDescent="0.25">
      <c r="B78">
        <f t="shared" ca="1" si="3"/>
        <v>72</v>
      </c>
      <c r="C78" s="1">
        <f t="shared" ca="1" si="4"/>
        <v>3.7727011140635162E-120</v>
      </c>
      <c r="D78">
        <f t="shared" ca="1" si="5"/>
        <v>0</v>
      </c>
    </row>
    <row r="79" spans="2:4" x14ac:dyDescent="0.25">
      <c r="B79">
        <f t="shared" ca="1" si="3"/>
        <v>73</v>
      </c>
      <c r="C79" s="1">
        <f t="shared" ca="1" si="4"/>
        <v>1.4616802434451372E-122</v>
      </c>
      <c r="D79">
        <f t="shared" ca="1" si="5"/>
        <v>0</v>
      </c>
    </row>
    <row r="80" spans="2:4" x14ac:dyDescent="0.25">
      <c r="B80">
        <f t="shared" ca="1" si="3"/>
        <v>74</v>
      </c>
      <c r="C80" s="1">
        <f t="shared" ca="1" si="4"/>
        <v>5.3870279242441584E-125</v>
      </c>
      <c r="D80">
        <f t="shared" ca="1" si="5"/>
        <v>0</v>
      </c>
    </row>
    <row r="81" spans="2:4" x14ac:dyDescent="0.25">
      <c r="B81">
        <f t="shared" ca="1" si="3"/>
        <v>75</v>
      </c>
      <c r="C81" s="1">
        <f t="shared" ca="1" si="4"/>
        <v>1.8863666805435833E-127</v>
      </c>
      <c r="D81">
        <f t="shared" ca="1" si="5"/>
        <v>0</v>
      </c>
    </row>
    <row r="82" spans="2:4" x14ac:dyDescent="0.25">
      <c r="B82">
        <f t="shared" ca="1" si="3"/>
        <v>76</v>
      </c>
      <c r="C82" s="1">
        <f t="shared" ca="1" si="4"/>
        <v>6.2678318731516785E-130</v>
      </c>
      <c r="D82">
        <f t="shared" ca="1" si="5"/>
        <v>0</v>
      </c>
    </row>
    <row r="83" spans="2:4" x14ac:dyDescent="0.25">
      <c r="B83">
        <f t="shared" ca="1" si="3"/>
        <v>77</v>
      </c>
      <c r="C83" s="1">
        <f t="shared" ca="1" si="4"/>
        <v>1.9733433681703573E-132</v>
      </c>
      <c r="D83">
        <f t="shared" ca="1" si="5"/>
        <v>0</v>
      </c>
    </row>
    <row r="84" spans="2:4" x14ac:dyDescent="0.25">
      <c r="B84">
        <f t="shared" ca="1" si="3"/>
        <v>78</v>
      </c>
      <c r="C84" s="1">
        <f t="shared" ca="1" si="4"/>
        <v>5.8776090997050925E-135</v>
      </c>
      <c r="D84">
        <f t="shared" ca="1" si="5"/>
        <v>0</v>
      </c>
    </row>
    <row r="85" spans="2:4" x14ac:dyDescent="0.25">
      <c r="B85">
        <f t="shared" ca="1" si="3"/>
        <v>79</v>
      </c>
      <c r="C85" s="1">
        <f t="shared" ca="1" si="4"/>
        <v>1.6533358930251941E-137</v>
      </c>
      <c r="D85">
        <f t="shared" ca="1" si="5"/>
        <v>0</v>
      </c>
    </row>
    <row r="86" spans="2:4" x14ac:dyDescent="0.25">
      <c r="B86">
        <f t="shared" ca="1" si="3"/>
        <v>80</v>
      </c>
      <c r="C86" s="1">
        <f t="shared" ca="1" si="4"/>
        <v>4.3838451709003483E-140</v>
      </c>
      <c r="D86">
        <f t="shared" ca="1" si="5"/>
        <v>0</v>
      </c>
    </row>
    <row r="87" spans="2:4" x14ac:dyDescent="0.25">
      <c r="B87">
        <f t="shared" ca="1" si="3"/>
        <v>81</v>
      </c>
      <c r="C87" s="1">
        <f t="shared" ca="1" si="4"/>
        <v>1.0933645519142624E-142</v>
      </c>
      <c r="D87">
        <f t="shared" ca="1" si="5"/>
        <v>0</v>
      </c>
    </row>
    <row r="88" spans="2:4" x14ac:dyDescent="0.25">
      <c r="B88">
        <f t="shared" ca="1" si="3"/>
        <v>82</v>
      </c>
      <c r="C88" s="1">
        <f t="shared" ca="1" si="4"/>
        <v>2.5589956253228393E-145</v>
      </c>
      <c r="D88">
        <f t="shared" ca="1" si="5"/>
        <v>0</v>
      </c>
    </row>
    <row r="89" spans="2:4" x14ac:dyDescent="0.25">
      <c r="B89">
        <f t="shared" ca="1" si="3"/>
        <v>83</v>
      </c>
      <c r="C89" s="1">
        <f t="shared" ca="1" si="4"/>
        <v>5.605685926227299E-148</v>
      </c>
      <c r="D89">
        <f t="shared" ca="1" si="5"/>
        <v>0</v>
      </c>
    </row>
    <row r="90" spans="2:4" x14ac:dyDescent="0.25">
      <c r="B90">
        <f t="shared" ca="1" si="3"/>
        <v>84</v>
      </c>
      <c r="C90" s="1">
        <f t="shared" ca="1" si="4"/>
        <v>1.1459434914126334E-150</v>
      </c>
      <c r="D90">
        <f t="shared" ca="1" si="5"/>
        <v>0</v>
      </c>
    </row>
    <row r="91" spans="2:4" x14ac:dyDescent="0.25">
      <c r="B91">
        <f t="shared" ca="1" si="3"/>
        <v>85</v>
      </c>
      <c r="C91" s="1">
        <f t="shared" ca="1" si="4"/>
        <v>2.1788586883660621E-153</v>
      </c>
      <c r="D91">
        <f t="shared" ca="1" si="5"/>
        <v>0</v>
      </c>
    </row>
    <row r="92" spans="2:4" x14ac:dyDescent="0.25">
      <c r="B92">
        <f t="shared" ca="1" si="3"/>
        <v>86</v>
      </c>
      <c r="C92" s="1">
        <f t="shared" ca="1" si="4"/>
        <v>3.838722142998816E-156</v>
      </c>
      <c r="D92">
        <f t="shared" ca="1" si="5"/>
        <v>0</v>
      </c>
    </row>
    <row r="93" spans="2:4" x14ac:dyDescent="0.25">
      <c r="B93">
        <f t="shared" ca="1" si="3"/>
        <v>87</v>
      </c>
      <c r="C93" s="1">
        <f t="shared" ca="1" si="4"/>
        <v>6.2396505285014621E-159</v>
      </c>
      <c r="D93">
        <f t="shared" ca="1" si="5"/>
        <v>0</v>
      </c>
    </row>
    <row r="94" spans="2:4" x14ac:dyDescent="0.25">
      <c r="B94">
        <f t="shared" ca="1" si="3"/>
        <v>88</v>
      </c>
      <c r="C94" s="1">
        <f t="shared" ca="1" si="4"/>
        <v>9.3107732863304576E-162</v>
      </c>
      <c r="D94">
        <f t="shared" ca="1" si="5"/>
        <v>0</v>
      </c>
    </row>
    <row r="95" spans="2:4" x14ac:dyDescent="0.25">
      <c r="B95">
        <f t="shared" ref="B95:B106" ca="1" si="6">B94+1</f>
        <v>89</v>
      </c>
      <c r="C95" s="1">
        <f t="shared" ca="1" si="4"/>
        <v>1.2680658204061036E-164</v>
      </c>
      <c r="D95">
        <f t="shared" ca="1" si="5"/>
        <v>0</v>
      </c>
    </row>
    <row r="96" spans="2:4" x14ac:dyDescent="0.25">
      <c r="B96">
        <f t="shared" ca="1" si="6"/>
        <v>90</v>
      </c>
      <c r="C96" s="1">
        <f t="shared" ca="1" si="4"/>
        <v>1.5655133585259952E-167</v>
      </c>
      <c r="D96">
        <f t="shared" ca="1" si="5"/>
        <v>0</v>
      </c>
    </row>
    <row r="97" spans="2:4" x14ac:dyDescent="0.25">
      <c r="B97">
        <f t="shared" ca="1" si="6"/>
        <v>91</v>
      </c>
      <c r="C97" s="1">
        <f t="shared" ca="1" si="4"/>
        <v>1.7377215656854369E-170</v>
      </c>
      <c r="D97">
        <f t="shared" ca="1" si="5"/>
        <v>0</v>
      </c>
    </row>
    <row r="98" spans="2:4" x14ac:dyDescent="0.25">
      <c r="B98">
        <f t="shared" ca="1" si="6"/>
        <v>92</v>
      </c>
      <c r="C98" s="1">
        <f t="shared" ca="1" si="4"/>
        <v>1.717116171625884E-173</v>
      </c>
      <c r="D98">
        <f t="shared" ca="1" si="5"/>
        <v>0</v>
      </c>
    </row>
    <row r="99" spans="2:4" x14ac:dyDescent="0.25">
      <c r="B99">
        <f t="shared" ca="1" si="6"/>
        <v>93</v>
      </c>
      <c r="C99" s="1">
        <f t="shared" ca="1" si="4"/>
        <v>1.4920092726193281E-176</v>
      </c>
      <c r="D99">
        <f t="shared" ca="1" si="5"/>
        <v>0</v>
      </c>
    </row>
    <row r="100" spans="2:4" x14ac:dyDescent="0.25">
      <c r="B100">
        <f t="shared" ca="1" si="6"/>
        <v>94</v>
      </c>
      <c r="C100" s="1">
        <f t="shared" ca="1" si="4"/>
        <v>1.1222936716457809E-179</v>
      </c>
      <c r="D100">
        <f t="shared" ca="1" si="5"/>
        <v>0</v>
      </c>
    </row>
    <row r="101" spans="2:4" x14ac:dyDescent="0.25">
      <c r="B101">
        <f t="shared" ca="1" si="6"/>
        <v>95</v>
      </c>
      <c r="C101" s="1">
        <f t="shared" ca="1" si="4"/>
        <v>7.1597682401644878E-183</v>
      </c>
      <c r="D101">
        <f t="shared" ca="1" si="5"/>
        <v>0</v>
      </c>
    </row>
    <row r="102" spans="2:4" x14ac:dyDescent="0.25">
      <c r="B102">
        <f t="shared" ca="1" si="6"/>
        <v>96</v>
      </c>
      <c r="C102" s="1">
        <f t="shared" ca="1" si="4"/>
        <v>3.7667130893123004E-186</v>
      </c>
      <c r="D102">
        <f t="shared" ca="1" si="5"/>
        <v>0</v>
      </c>
    </row>
    <row r="103" spans="2:4" x14ac:dyDescent="0.25">
      <c r="B103">
        <f t="shared" ca="1" si="6"/>
        <v>97</v>
      </c>
      <c r="C103" s="1">
        <f t="shared" ca="1" si="4"/>
        <v>1.5689734830000264E-189</v>
      </c>
      <c r="D103">
        <f t="shared" ca="1" si="5"/>
        <v>0</v>
      </c>
    </row>
    <row r="104" spans="2:4" x14ac:dyDescent="0.25">
      <c r="B104">
        <f t="shared" ca="1" si="6"/>
        <v>98</v>
      </c>
      <c r="C104" s="1">
        <f t="shared" ca="1" si="4"/>
        <v>4.8514949999999252E-193</v>
      </c>
      <c r="D104">
        <f t="shared" ca="1" si="5"/>
        <v>0</v>
      </c>
    </row>
    <row r="105" spans="2:4" x14ac:dyDescent="0.25">
      <c r="B105">
        <f t="shared" ca="1" si="6"/>
        <v>99</v>
      </c>
      <c r="C105" s="1">
        <f t="shared" ca="1" si="4"/>
        <v>9.9000000000000468E-197</v>
      </c>
      <c r="D105">
        <f t="shared" ca="1" si="5"/>
        <v>0</v>
      </c>
    </row>
    <row r="106" spans="2:4" x14ac:dyDescent="0.25">
      <c r="B106">
        <f t="shared" ca="1" si="6"/>
        <v>100</v>
      </c>
      <c r="C106" s="1">
        <f t="shared" ca="1" si="4"/>
        <v>1.0000000000000348E-200</v>
      </c>
      <c r="D106">
        <f t="shared" ca="1" si="5"/>
        <v>0</v>
      </c>
    </row>
    <row r="107" spans="2:4" x14ac:dyDescent="0.25">
      <c r="C107" s="1"/>
    </row>
    <row r="108" spans="2:4" x14ac:dyDescent="0.25">
      <c r="C108" s="1"/>
    </row>
    <row r="109" spans="2:4" x14ac:dyDescent="0.25">
      <c r="C109" s="1"/>
    </row>
    <row r="110" spans="2:4" x14ac:dyDescent="0.25">
      <c r="C110" s="1"/>
    </row>
    <row r="111" spans="2:4" x14ac:dyDescent="0.25">
      <c r="C111" s="1"/>
    </row>
    <row r="112" spans="2:4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87EFB-B818-4072-8CD4-FBDD69ECFDF3}">
  <dimension ref="B2:E11"/>
  <sheetViews>
    <sheetView tabSelected="1" workbookViewId="0">
      <selection activeCell="C4" sqref="C4"/>
    </sheetView>
  </sheetViews>
  <sheetFormatPr defaultRowHeight="14.4" x14ac:dyDescent="0.3"/>
  <cols>
    <col min="1" max="1" width="8.88671875" style="8"/>
    <col min="2" max="2" width="14.6640625" style="8" bestFit="1" customWidth="1"/>
    <col min="3" max="3" width="23.44140625" style="8" bestFit="1" customWidth="1"/>
    <col min="4" max="4" width="8.88671875" style="8"/>
    <col min="5" max="5" width="19.21875" style="8" bestFit="1" customWidth="1"/>
    <col min="6" max="16384" width="8.88671875" style="8"/>
  </cols>
  <sheetData>
    <row r="2" spans="2:5" ht="25.8" x14ac:dyDescent="0.5">
      <c r="B2" s="6" t="s">
        <v>16</v>
      </c>
      <c r="C2" s="6">
        <v>2500</v>
      </c>
    </row>
    <row r="3" spans="2:5" ht="25.8" x14ac:dyDescent="0.5">
      <c r="B3" s="6" t="s">
        <v>1</v>
      </c>
      <c r="C3" s="7">
        <v>1E-3</v>
      </c>
    </row>
    <row r="4" spans="2:5" ht="25.8" x14ac:dyDescent="0.5">
      <c r="B4" s="6" t="s">
        <v>8</v>
      </c>
      <c r="C4" s="13">
        <f ca="1">(0.12*(1-EXP(-50*PD))/(1-EXP(-50))+0.24*(1-(1-EXP(-50*PD))/(1-EXP(-50))))</f>
        <v>0.23414753094008567</v>
      </c>
    </row>
    <row r="5" spans="2:5" ht="25.8" x14ac:dyDescent="0.5">
      <c r="B5" s="6" t="s">
        <v>9</v>
      </c>
      <c r="C5" s="13">
        <f ca="1">(0.11852-0.05478*LN(PD))^2</f>
        <v>0.24693627853078248</v>
      </c>
    </row>
    <row r="6" spans="2:5" ht="25.8" x14ac:dyDescent="0.5">
      <c r="B6" s="6" t="s">
        <v>10</v>
      </c>
      <c r="C6" s="9">
        <f ca="1">NORMSDIST((NORMSINV(PD)+SQRT(C4)*NORMSINV(99.9%))/SQRT(1-C4))-PD</f>
        <v>3.3191152357221657E-2</v>
      </c>
      <c r="E6" s="10"/>
    </row>
    <row r="7" spans="2:5" ht="25.8" x14ac:dyDescent="0.5">
      <c r="B7" s="6" t="s">
        <v>7</v>
      </c>
      <c r="C7" s="6">
        <v>5</v>
      </c>
    </row>
    <row r="8" spans="2:5" ht="25.8" x14ac:dyDescent="0.5">
      <c r="B8" s="6" t="s">
        <v>11</v>
      </c>
      <c r="C8" s="11">
        <f ca="1">(1+(C7-2.5)*C5)/(1-1.5*C5)</f>
        <v>2.5688564882644869</v>
      </c>
    </row>
    <row r="9" spans="2:5" ht="25.8" x14ac:dyDescent="0.5">
      <c r="B9" s="6" t="s">
        <v>12</v>
      </c>
      <c r="C9" s="12">
        <v>0.35</v>
      </c>
    </row>
    <row r="10" spans="2:5" ht="25.8" x14ac:dyDescent="0.5">
      <c r="B10" s="6"/>
      <c r="C10" s="6"/>
    </row>
    <row r="11" spans="2:5" ht="25.8" x14ac:dyDescent="0.5">
      <c r="B11" s="6" t="s">
        <v>15</v>
      </c>
      <c r="C11" s="11">
        <f ca="1">C9*C6*C8*C2</f>
        <v>74.605393700095973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Simple Binomial</vt:lpstr>
      <vt:lpstr>IRB</vt:lpstr>
      <vt:lpstr>PD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2008-03-23T22:02:43Z</dcterms:created>
  <dcterms:modified xsi:type="dcterms:W3CDTF">2020-02-13T15:12:21Z</dcterms:modified>
</cp:coreProperties>
</file>